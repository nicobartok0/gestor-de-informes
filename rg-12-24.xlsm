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rlando.piccinini\Desktop\gestor-de-informes\"/>
    </mc:Choice>
  </mc:AlternateContent>
  <xr:revisionPtr revIDLastSave="0" documentId="8_{1DB10027-C1D2-440C-AA4E-08119BC7A1AC}" xr6:coauthVersionLast="47" xr6:coauthVersionMax="47" xr10:uidLastSave="{00000000-0000-0000-0000-000000000000}"/>
  <bookViews>
    <workbookView xWindow="2940" yWindow="2940" windowWidth="21600" windowHeight="11385" tabRatio="520" activeTab="3" xr2:uid="{00000000-000D-0000-FFFF-FFFF00000000}"/>
  </bookViews>
  <sheets>
    <sheet name="Configuración" sheetId="1" r:id="rId1"/>
    <sheet name="Registro de Movimientos" sheetId="2" r:id="rId2"/>
    <sheet name="Ingresos" sheetId="3" r:id="rId3"/>
    <sheet name="Egresos" sheetId="4" r:id="rId4"/>
    <sheet name="Informe Mensual" sheetId="5" r:id="rId5"/>
    <sheet name="Informe Anual" sheetId="8" r:id="rId6"/>
    <sheet name="Flujo" sheetId="9" r:id="rId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03" i="4" l="1"/>
  <c r="I503" i="4"/>
  <c r="J503" i="4" s="1"/>
  <c r="G503" i="4" s="1"/>
  <c r="C502" i="4" l="1"/>
  <c r="I502" i="4"/>
  <c r="J502" i="4" s="1"/>
  <c r="G502" i="4" s="1"/>
  <c r="C501" i="4"/>
  <c r="I501" i="4"/>
  <c r="J501" i="4" s="1"/>
  <c r="G501" i="4" s="1"/>
  <c r="C500" i="4"/>
  <c r="I500" i="4"/>
  <c r="J500" i="4" s="1"/>
  <c r="G500" i="4" s="1"/>
  <c r="C499" i="4"/>
  <c r="I499" i="4"/>
  <c r="J499" i="4" s="1"/>
  <c r="G499" i="4" s="1"/>
  <c r="C498" i="4"/>
  <c r="I498" i="4"/>
  <c r="J498" i="4" s="1"/>
  <c r="G498" i="4" s="1"/>
  <c r="C497" i="4"/>
  <c r="I497" i="4"/>
  <c r="J497" i="4" s="1"/>
  <c r="G497" i="4" s="1"/>
  <c r="C496" i="4"/>
  <c r="I496" i="4"/>
  <c r="J496" i="4" s="1"/>
  <c r="G496" i="4" s="1"/>
  <c r="C201" i="3"/>
  <c r="I201" i="3"/>
  <c r="J201" i="3" s="1"/>
  <c r="K201" i="3" s="1"/>
  <c r="C200" i="3"/>
  <c r="I200" i="3"/>
  <c r="J200" i="3" s="1"/>
  <c r="K200" i="3" s="1"/>
  <c r="C199" i="3"/>
  <c r="I199" i="3"/>
  <c r="J199" i="3" s="1"/>
  <c r="K199" i="3" s="1"/>
  <c r="C198" i="3"/>
  <c r="I198" i="3"/>
  <c r="J198" i="3" s="1"/>
  <c r="K198" i="3" s="1"/>
  <c r="C197" i="3"/>
  <c r="I197" i="3"/>
  <c r="J197" i="3" s="1"/>
  <c r="K197" i="3" s="1"/>
  <c r="C196" i="3"/>
  <c r="I196" i="3"/>
  <c r="J196" i="3" s="1"/>
  <c r="K196" i="3" s="1"/>
  <c r="C195" i="3"/>
  <c r="I195" i="3"/>
  <c r="J195" i="3" s="1"/>
  <c r="K195" i="3" s="1"/>
  <c r="C194" i="3"/>
  <c r="I194" i="3"/>
  <c r="J194" i="3" s="1"/>
  <c r="K194" i="3" s="1"/>
  <c r="C495" i="4"/>
  <c r="I495" i="4"/>
  <c r="J495" i="4" s="1"/>
  <c r="G495" i="4" s="1"/>
  <c r="C494" i="4"/>
  <c r="I494" i="4"/>
  <c r="J494" i="4" s="1"/>
  <c r="G494" i="4" s="1"/>
  <c r="C493" i="4"/>
  <c r="I493" i="4"/>
  <c r="J493" i="4" s="1"/>
  <c r="G493" i="4" s="1"/>
  <c r="C492" i="4"/>
  <c r="I492" i="4"/>
  <c r="J492" i="4" s="1"/>
  <c r="G492" i="4" s="1"/>
  <c r="C491" i="4" l="1"/>
  <c r="I491" i="4"/>
  <c r="J491" i="4" s="1"/>
  <c r="G491" i="4" s="1"/>
  <c r="C490" i="4"/>
  <c r="I490" i="4"/>
  <c r="J490" i="4" s="1"/>
  <c r="G490" i="4" s="1"/>
  <c r="C489" i="4"/>
  <c r="I489" i="4"/>
  <c r="J489" i="4" s="1"/>
  <c r="G489" i="4" s="1"/>
  <c r="C488" i="4"/>
  <c r="I488" i="4"/>
  <c r="J488" i="4" s="1"/>
  <c r="G488" i="4" s="1"/>
  <c r="C487" i="4" l="1"/>
  <c r="I487" i="4"/>
  <c r="J487" i="4" s="1"/>
  <c r="G487" i="4" s="1"/>
  <c r="C486" i="4"/>
  <c r="I486" i="4"/>
  <c r="J486" i="4" s="1"/>
  <c r="G486" i="4" s="1"/>
  <c r="C485" i="4"/>
  <c r="I485" i="4"/>
  <c r="J485" i="4" s="1"/>
  <c r="G485" i="4" s="1"/>
  <c r="C193" i="3" l="1"/>
  <c r="I193" i="3"/>
  <c r="J193" i="3" s="1"/>
  <c r="K193" i="3" s="1"/>
  <c r="C192" i="3"/>
  <c r="I192" i="3"/>
  <c r="J192" i="3" s="1"/>
  <c r="K192" i="3" s="1"/>
  <c r="C191" i="3"/>
  <c r="I191" i="3"/>
  <c r="J191" i="3" s="1"/>
  <c r="K191" i="3" s="1"/>
  <c r="C190" i="3"/>
  <c r="I190" i="3"/>
  <c r="J190" i="3" s="1"/>
  <c r="K190" i="3" s="1"/>
  <c r="C189" i="3"/>
  <c r="I189" i="3"/>
  <c r="J189" i="3" s="1"/>
  <c r="K189" i="3" s="1"/>
  <c r="C188" i="3"/>
  <c r="I188" i="3"/>
  <c r="J188" i="3" s="1"/>
  <c r="K188" i="3" s="1"/>
  <c r="C484" i="4"/>
  <c r="I484" i="4"/>
  <c r="J484" i="4" s="1"/>
  <c r="G484" i="4" s="1"/>
  <c r="C483" i="4"/>
  <c r="I483" i="4"/>
  <c r="J483" i="4" s="1"/>
  <c r="G483" i="4" s="1"/>
  <c r="C482" i="4"/>
  <c r="I482" i="4"/>
  <c r="J482" i="4" s="1"/>
  <c r="G482" i="4" s="1"/>
  <c r="C481" i="4"/>
  <c r="I481" i="4"/>
  <c r="J481" i="4" s="1"/>
  <c r="G481" i="4" s="1"/>
  <c r="C480" i="4" l="1"/>
  <c r="I480" i="4"/>
  <c r="J480" i="4" s="1"/>
  <c r="G480" i="4" s="1"/>
  <c r="C479" i="4"/>
  <c r="I479" i="4"/>
  <c r="J479" i="4" s="1"/>
  <c r="G479" i="4" s="1"/>
  <c r="C478" i="4" l="1"/>
  <c r="I478" i="4"/>
  <c r="J478" i="4" s="1"/>
  <c r="G478" i="4" s="1"/>
  <c r="C477" i="4"/>
  <c r="I477" i="4"/>
  <c r="J477" i="4" s="1"/>
  <c r="G477" i="4" s="1"/>
  <c r="C476" i="4"/>
  <c r="I476" i="4"/>
  <c r="J476" i="4" s="1"/>
  <c r="G476" i="4" s="1"/>
  <c r="C475" i="4"/>
  <c r="I475" i="4"/>
  <c r="J475" i="4" s="1"/>
  <c r="G475" i="4" s="1"/>
  <c r="C474" i="4"/>
  <c r="I474" i="4"/>
  <c r="J474" i="4" s="1"/>
  <c r="G474" i="4" s="1"/>
  <c r="C473" i="4"/>
  <c r="I473" i="4"/>
  <c r="J473" i="4" s="1"/>
  <c r="G473" i="4" s="1"/>
  <c r="C472" i="4"/>
  <c r="I472" i="4"/>
  <c r="J472" i="4" s="1"/>
  <c r="G472" i="4" s="1"/>
  <c r="C471" i="4"/>
  <c r="I471" i="4"/>
  <c r="J471" i="4" s="1"/>
  <c r="G471" i="4" s="1"/>
  <c r="C470" i="4" l="1"/>
  <c r="I470" i="4"/>
  <c r="J470" i="4" s="1"/>
  <c r="G470" i="4" s="1"/>
  <c r="C469" i="4"/>
  <c r="I469" i="4"/>
  <c r="J469" i="4" s="1"/>
  <c r="G469" i="4" s="1"/>
  <c r="C468" i="4"/>
  <c r="I468" i="4"/>
  <c r="J468" i="4" s="1"/>
  <c r="G468" i="4" s="1"/>
  <c r="C467" i="4"/>
  <c r="I467" i="4"/>
  <c r="J467" i="4" s="1"/>
  <c r="G467" i="4" s="1"/>
  <c r="C466" i="4"/>
  <c r="I466" i="4"/>
  <c r="J466" i="4" s="1"/>
  <c r="G466" i="4" s="1"/>
  <c r="C187" i="3"/>
  <c r="I187" i="3"/>
  <c r="J187" i="3" s="1"/>
  <c r="K187" i="3" s="1"/>
  <c r="C186" i="3"/>
  <c r="I186" i="3"/>
  <c r="J186" i="3" s="1"/>
  <c r="K186" i="3" s="1"/>
  <c r="C185" i="3"/>
  <c r="I185" i="3"/>
  <c r="J185" i="3" s="1"/>
  <c r="K185" i="3" s="1"/>
  <c r="C184" i="3"/>
  <c r="I184" i="3"/>
  <c r="J184" i="3" s="1"/>
  <c r="K184" i="3" s="1"/>
  <c r="C183" i="3"/>
  <c r="I183" i="3"/>
  <c r="J183" i="3" s="1"/>
  <c r="K183" i="3" s="1"/>
  <c r="C182" i="3"/>
  <c r="I182" i="3"/>
  <c r="J182" i="3" s="1"/>
  <c r="K182" i="3" s="1"/>
  <c r="C465" i="4"/>
  <c r="I465" i="4"/>
  <c r="J465" i="4" s="1"/>
  <c r="G465" i="4" s="1"/>
  <c r="C464" i="4"/>
  <c r="I464" i="4"/>
  <c r="J464" i="4" s="1"/>
  <c r="G464" i="4" s="1"/>
  <c r="C463" i="4"/>
  <c r="I463" i="4"/>
  <c r="J463" i="4" s="1"/>
  <c r="G463" i="4" s="1"/>
  <c r="C462" i="4"/>
  <c r="I462" i="4"/>
  <c r="J462" i="4" s="1"/>
  <c r="G462" i="4" s="1"/>
  <c r="C461" i="4"/>
  <c r="I461" i="4"/>
  <c r="J461" i="4" s="1"/>
  <c r="G461" i="4" s="1"/>
  <c r="C460" i="4"/>
  <c r="I460" i="4"/>
  <c r="J460" i="4" s="1"/>
  <c r="G460" i="4" s="1"/>
  <c r="C459" i="4"/>
  <c r="I459" i="4"/>
  <c r="J459" i="4" s="1"/>
  <c r="G459" i="4" s="1"/>
  <c r="C458" i="4"/>
  <c r="I458" i="4"/>
  <c r="J458" i="4" s="1"/>
  <c r="G458" i="4" s="1"/>
  <c r="C457" i="4"/>
  <c r="I457" i="4"/>
  <c r="J457" i="4" s="1"/>
  <c r="G457" i="4" s="1"/>
  <c r="C456" i="4"/>
  <c r="I456" i="4"/>
  <c r="J456" i="4" s="1"/>
  <c r="G456" i="4" s="1"/>
  <c r="C455" i="4"/>
  <c r="I455" i="4"/>
  <c r="J455" i="4" s="1"/>
  <c r="G455" i="4" s="1"/>
  <c r="C454" i="4"/>
  <c r="I454" i="4"/>
  <c r="J454" i="4" s="1"/>
  <c r="G454" i="4" s="1"/>
  <c r="C453" i="4"/>
  <c r="I453" i="4"/>
  <c r="J453" i="4" s="1"/>
  <c r="G453" i="4" s="1"/>
  <c r="C447" i="4" l="1"/>
  <c r="I447" i="4"/>
  <c r="J447" i="4" s="1"/>
  <c r="G447" i="4" s="1"/>
  <c r="C448" i="4"/>
  <c r="I448" i="4"/>
  <c r="J448" i="4" s="1"/>
  <c r="G448" i="4" s="1"/>
  <c r="C449" i="4"/>
  <c r="I449" i="4"/>
  <c r="J449" i="4" s="1"/>
  <c r="G449" i="4" s="1"/>
  <c r="C450" i="4"/>
  <c r="I450" i="4"/>
  <c r="J450" i="4" s="1"/>
  <c r="G450" i="4" s="1"/>
  <c r="C451" i="4"/>
  <c r="I451" i="4"/>
  <c r="J451" i="4" s="1"/>
  <c r="G451" i="4" s="1"/>
  <c r="C452" i="4"/>
  <c r="I452" i="4"/>
  <c r="J452" i="4" s="1"/>
  <c r="G452" i="4" s="1"/>
  <c r="C445" i="4" l="1"/>
  <c r="I445" i="4"/>
  <c r="J445" i="4" s="1"/>
  <c r="G445" i="4" s="1"/>
  <c r="C446" i="4" l="1"/>
  <c r="I446" i="4"/>
  <c r="J446" i="4" s="1"/>
  <c r="G446" i="4" s="1"/>
  <c r="C181" i="3"/>
  <c r="I181" i="3"/>
  <c r="J181" i="3" s="1"/>
  <c r="K181" i="3" s="1"/>
  <c r="C180" i="3"/>
  <c r="I180" i="3"/>
  <c r="J180" i="3" s="1"/>
  <c r="K180" i="3" s="1"/>
  <c r="C179" i="3"/>
  <c r="I179" i="3"/>
  <c r="J179" i="3" s="1"/>
  <c r="K179" i="3" s="1"/>
  <c r="C178" i="3"/>
  <c r="I178" i="3"/>
  <c r="J178" i="3" s="1"/>
  <c r="K178" i="3" s="1"/>
  <c r="C177" i="3"/>
  <c r="I177" i="3"/>
  <c r="J177" i="3" s="1"/>
  <c r="K177" i="3" s="1"/>
  <c r="C176" i="3"/>
  <c r="I176" i="3"/>
  <c r="J176" i="3" s="1"/>
  <c r="K176" i="3" s="1"/>
  <c r="C175" i="3"/>
  <c r="I175" i="3"/>
  <c r="J175" i="3" s="1"/>
  <c r="K175" i="3" s="1"/>
  <c r="C174" i="3"/>
  <c r="I174" i="3"/>
  <c r="J174" i="3" s="1"/>
  <c r="K174" i="3" s="1"/>
  <c r="C173" i="3"/>
  <c r="I173" i="3"/>
  <c r="J173" i="3" s="1"/>
  <c r="K173" i="3" s="1"/>
  <c r="C172" i="3"/>
  <c r="I172" i="3"/>
  <c r="J172" i="3" s="1"/>
  <c r="K172" i="3" s="1"/>
  <c r="C171" i="3"/>
  <c r="I171" i="3"/>
  <c r="J171" i="3" s="1"/>
  <c r="K171" i="3" s="1"/>
  <c r="C170" i="3"/>
  <c r="I170" i="3"/>
  <c r="J170" i="3" s="1"/>
  <c r="K170" i="3" s="1"/>
  <c r="C169" i="3"/>
  <c r="I169" i="3"/>
  <c r="J169" i="3" s="1"/>
  <c r="K169" i="3" s="1"/>
  <c r="C168" i="3"/>
  <c r="I168" i="3"/>
  <c r="J168" i="3" s="1"/>
  <c r="K168" i="3" s="1"/>
  <c r="C167" i="3"/>
  <c r="I167" i="3"/>
  <c r="J167" i="3" s="1"/>
  <c r="K167" i="3" s="1"/>
  <c r="C166" i="3"/>
  <c r="I166" i="3"/>
  <c r="J166" i="3" s="1"/>
  <c r="K166" i="3" s="1"/>
  <c r="C165" i="3"/>
  <c r="I165" i="3"/>
  <c r="J165" i="3" s="1"/>
  <c r="K165" i="3" s="1"/>
  <c r="C164" i="3"/>
  <c r="I164" i="3"/>
  <c r="J164" i="3" s="1"/>
  <c r="K164" i="3" s="1"/>
  <c r="C444" i="4"/>
  <c r="I444" i="4"/>
  <c r="J444" i="4" s="1"/>
  <c r="G444" i="4" s="1"/>
  <c r="C443" i="4"/>
  <c r="I443" i="4"/>
  <c r="J443" i="4" s="1"/>
  <c r="G443" i="4" s="1"/>
  <c r="C442" i="4"/>
  <c r="I442" i="4"/>
  <c r="J442" i="4" s="1"/>
  <c r="G442" i="4" s="1"/>
  <c r="C441" i="4"/>
  <c r="I441" i="4"/>
  <c r="J441" i="4" s="1"/>
  <c r="G441" i="4" s="1"/>
  <c r="K440" i="4"/>
  <c r="C440" i="4"/>
  <c r="I440" i="4"/>
  <c r="C439" i="4"/>
  <c r="I439" i="4"/>
  <c r="J439" i="4" s="1"/>
  <c r="G439" i="4" s="1"/>
  <c r="C438" i="4"/>
  <c r="I438" i="4"/>
  <c r="J438" i="4" s="1"/>
  <c r="G438" i="4" s="1"/>
  <c r="C437" i="4"/>
  <c r="I437" i="4"/>
  <c r="J437" i="4" s="1"/>
  <c r="G437" i="4" s="1"/>
  <c r="C436" i="4"/>
  <c r="I436" i="4"/>
  <c r="J436" i="4" s="1"/>
  <c r="G436" i="4" s="1"/>
  <c r="C435" i="4"/>
  <c r="I435" i="4"/>
  <c r="J435" i="4" s="1"/>
  <c r="G435" i="4" s="1"/>
  <c r="C434" i="4"/>
  <c r="I434" i="4"/>
  <c r="J434" i="4" s="1"/>
  <c r="G434" i="4" s="1"/>
  <c r="C433" i="4"/>
  <c r="I433" i="4"/>
  <c r="J433" i="4" s="1"/>
  <c r="G433" i="4" s="1"/>
  <c r="C432" i="4"/>
  <c r="I432" i="4"/>
  <c r="J432" i="4" s="1"/>
  <c r="G432" i="4" s="1"/>
  <c r="K429" i="4"/>
  <c r="C431" i="4"/>
  <c r="I431" i="4"/>
  <c r="J431" i="4" s="1"/>
  <c r="G431" i="4" s="1"/>
  <c r="C430" i="4"/>
  <c r="I430" i="4"/>
  <c r="J430" i="4" s="1"/>
  <c r="G430" i="4" s="1"/>
  <c r="C429" i="4"/>
  <c r="I429" i="4"/>
  <c r="J429" i="4" s="1"/>
  <c r="G429" i="4" s="1"/>
  <c r="C428" i="4"/>
  <c r="I428" i="4"/>
  <c r="J428" i="4" s="1"/>
  <c r="G428" i="4" s="1"/>
  <c r="C427" i="4"/>
  <c r="I427" i="4"/>
  <c r="J427" i="4" s="1"/>
  <c r="G427" i="4" s="1"/>
  <c r="C426" i="4"/>
  <c r="I426" i="4"/>
  <c r="J426" i="4" s="1"/>
  <c r="G426" i="4" s="1"/>
  <c r="C425" i="4"/>
  <c r="I425" i="4"/>
  <c r="J425" i="4" s="1"/>
  <c r="G425" i="4" s="1"/>
  <c r="C424" i="4"/>
  <c r="I424" i="4"/>
  <c r="J424" i="4" s="1"/>
  <c r="G424" i="4" s="1"/>
  <c r="C423" i="4"/>
  <c r="I423" i="4"/>
  <c r="J423" i="4" s="1"/>
  <c r="G423" i="4" s="1"/>
  <c r="C422" i="4"/>
  <c r="I422" i="4"/>
  <c r="J422" i="4" s="1"/>
  <c r="G422" i="4" s="1"/>
  <c r="C421" i="4"/>
  <c r="I421" i="4"/>
  <c r="J421" i="4" s="1"/>
  <c r="G421" i="4" s="1"/>
  <c r="C420" i="4"/>
  <c r="I420" i="4"/>
  <c r="J420" i="4" s="1"/>
  <c r="G420" i="4" s="1"/>
  <c r="C419" i="4"/>
  <c r="I419" i="4"/>
  <c r="J419" i="4" s="1"/>
  <c r="G419" i="4" s="1"/>
  <c r="C418" i="4"/>
  <c r="I418" i="4"/>
  <c r="J418" i="4" s="1"/>
  <c r="G418" i="4" s="1"/>
  <c r="C417" i="4"/>
  <c r="I417" i="4"/>
  <c r="J417" i="4" s="1"/>
  <c r="G417" i="4" s="1"/>
  <c r="C416" i="4"/>
  <c r="I416" i="4"/>
  <c r="J416" i="4" s="1"/>
  <c r="G416" i="4" s="1"/>
  <c r="C415" i="4"/>
  <c r="I415" i="4"/>
  <c r="J415" i="4" s="1"/>
  <c r="G415" i="4" s="1"/>
  <c r="C414" i="4"/>
  <c r="I414" i="4"/>
  <c r="J414" i="4" s="1"/>
  <c r="G414" i="4" s="1"/>
  <c r="C413" i="4"/>
  <c r="I413" i="4"/>
  <c r="J413" i="4" s="1"/>
  <c r="G413" i="4" s="1"/>
  <c r="C412" i="4"/>
  <c r="I412" i="4"/>
  <c r="J412" i="4" s="1"/>
  <c r="G412" i="4" s="1"/>
  <c r="C411" i="4"/>
  <c r="I411" i="4"/>
  <c r="J411" i="4" s="1"/>
  <c r="G411" i="4" s="1"/>
  <c r="J440" i="4" l="1"/>
  <c r="G440" i="4" s="1"/>
  <c r="C163" i="3"/>
  <c r="I163" i="3"/>
  <c r="J163" i="3" s="1"/>
  <c r="K163" i="3" s="1"/>
  <c r="C162" i="3"/>
  <c r="I162" i="3"/>
  <c r="J162" i="3" s="1"/>
  <c r="K162" i="3" s="1"/>
  <c r="C161" i="3"/>
  <c r="I161" i="3"/>
  <c r="J161" i="3" s="1"/>
  <c r="K161" i="3" s="1"/>
  <c r="C160" i="3"/>
  <c r="I160" i="3"/>
  <c r="J160" i="3" s="1"/>
  <c r="K160" i="3" s="1"/>
  <c r="C159" i="3"/>
  <c r="I159" i="3"/>
  <c r="J159" i="3" s="1"/>
  <c r="K159" i="3" s="1"/>
  <c r="C158" i="3"/>
  <c r="I158" i="3"/>
  <c r="J158" i="3" s="1"/>
  <c r="K158" i="3" s="1"/>
  <c r="C157" i="3"/>
  <c r="I157" i="3"/>
  <c r="J157" i="3" s="1"/>
  <c r="K157" i="3" s="1"/>
  <c r="C156" i="3"/>
  <c r="I156" i="3"/>
  <c r="J156" i="3" s="1"/>
  <c r="K156" i="3" s="1"/>
  <c r="C155" i="3"/>
  <c r="I155" i="3"/>
  <c r="J155" i="3" s="1"/>
  <c r="K155" i="3" s="1"/>
  <c r="C154" i="3"/>
  <c r="I154" i="3"/>
  <c r="J154" i="3" s="1"/>
  <c r="K154" i="3" s="1"/>
  <c r="C153" i="3"/>
  <c r="I153" i="3"/>
  <c r="J153" i="3" s="1"/>
  <c r="K153" i="3" s="1"/>
  <c r="C152" i="3"/>
  <c r="I152" i="3"/>
  <c r="J152" i="3" s="1"/>
  <c r="K152" i="3" s="1"/>
  <c r="C151" i="3"/>
  <c r="I151" i="3"/>
  <c r="J151" i="3" s="1"/>
  <c r="K151" i="3" s="1"/>
  <c r="C410" i="4"/>
  <c r="I410" i="4"/>
  <c r="J410" i="4" s="1"/>
  <c r="G410" i="4" s="1"/>
  <c r="C409" i="4"/>
  <c r="I409" i="4"/>
  <c r="J409" i="4" s="1"/>
  <c r="G409" i="4" s="1"/>
  <c r="C408" i="4"/>
  <c r="I408" i="4"/>
  <c r="J408" i="4" s="1"/>
  <c r="G408" i="4" s="1"/>
  <c r="C407" i="4"/>
  <c r="I407" i="4"/>
  <c r="J407" i="4" s="1"/>
  <c r="G407" i="4" s="1"/>
  <c r="C406" i="4"/>
  <c r="I406" i="4"/>
  <c r="J406" i="4" s="1"/>
  <c r="G406" i="4" s="1"/>
  <c r="C405" i="4"/>
  <c r="I405" i="4"/>
  <c r="J405" i="4" s="1"/>
  <c r="G405" i="4" s="1"/>
  <c r="C404" i="4"/>
  <c r="I404" i="4"/>
  <c r="J404" i="4" s="1"/>
  <c r="G404" i="4" s="1"/>
  <c r="C403" i="4"/>
  <c r="I403" i="4"/>
  <c r="J403" i="4" s="1"/>
  <c r="G403" i="4" s="1"/>
  <c r="C402" i="4"/>
  <c r="I402" i="4"/>
  <c r="J402" i="4" s="1"/>
  <c r="G402" i="4" s="1"/>
  <c r="C150" i="3"/>
  <c r="I150" i="3"/>
  <c r="J150" i="3" s="1"/>
  <c r="K150" i="3" s="1"/>
  <c r="C401" i="4"/>
  <c r="I401" i="4"/>
  <c r="J401" i="4" s="1"/>
  <c r="G401" i="4" s="1"/>
  <c r="C400" i="4"/>
  <c r="I400" i="4"/>
  <c r="J400" i="4" s="1"/>
  <c r="G400" i="4" s="1"/>
  <c r="C399" i="4" l="1"/>
  <c r="I399" i="4"/>
  <c r="J399" i="4" s="1"/>
  <c r="G399" i="4" s="1"/>
  <c r="C398" i="4"/>
  <c r="I398" i="4"/>
  <c r="J398" i="4" s="1"/>
  <c r="G398" i="4" s="1"/>
  <c r="C397" i="4"/>
  <c r="I397" i="4"/>
  <c r="J397" i="4" s="1"/>
  <c r="G397" i="4" s="1"/>
  <c r="C396" i="4" l="1"/>
  <c r="I396" i="4"/>
  <c r="J396" i="4" s="1"/>
  <c r="G396" i="4" s="1"/>
  <c r="C395" i="4"/>
  <c r="I395" i="4"/>
  <c r="J395" i="4" s="1"/>
  <c r="G395" i="4" s="1"/>
  <c r="C394" i="4" l="1"/>
  <c r="I394" i="4"/>
  <c r="J394" i="4" s="1"/>
  <c r="G394" i="4" s="1"/>
  <c r="C393" i="4"/>
  <c r="I393" i="4"/>
  <c r="J393" i="4" s="1"/>
  <c r="G393" i="4" s="1"/>
  <c r="C392" i="4"/>
  <c r="I392" i="4"/>
  <c r="J392" i="4" s="1"/>
  <c r="G392" i="4" s="1"/>
  <c r="C391" i="4"/>
  <c r="I391" i="4"/>
  <c r="J391" i="4" s="1"/>
  <c r="G391" i="4" s="1"/>
  <c r="C390" i="4"/>
  <c r="I390" i="4"/>
  <c r="J390" i="4" s="1"/>
  <c r="G390" i="4" s="1"/>
  <c r="C389" i="4"/>
  <c r="I389" i="4"/>
  <c r="J389" i="4" s="1"/>
  <c r="G389" i="4" s="1"/>
  <c r="C388" i="4"/>
  <c r="I388" i="4"/>
  <c r="J388" i="4" s="1"/>
  <c r="G388" i="4" s="1"/>
  <c r="C387" i="4"/>
  <c r="I387" i="4"/>
  <c r="J387" i="4" s="1"/>
  <c r="G387" i="4" s="1"/>
  <c r="C386" i="4"/>
  <c r="I386" i="4"/>
  <c r="J386" i="4" s="1"/>
  <c r="G386" i="4" s="1"/>
  <c r="C385" i="4"/>
  <c r="I385" i="4"/>
  <c r="J385" i="4" s="1"/>
  <c r="G385" i="4" s="1"/>
  <c r="C384" i="4"/>
  <c r="I384" i="4"/>
  <c r="J384" i="4" s="1"/>
  <c r="G384" i="4" s="1"/>
  <c r="C381" i="4"/>
  <c r="I381" i="4"/>
  <c r="J381" i="4" s="1"/>
  <c r="G381" i="4" s="1"/>
  <c r="C382" i="4"/>
  <c r="I382" i="4"/>
  <c r="J382" i="4" s="1"/>
  <c r="G382" i="4" s="1"/>
  <c r="C383" i="4"/>
  <c r="I383" i="4"/>
  <c r="J383" i="4" s="1"/>
  <c r="G383" i="4" s="1"/>
  <c r="C380" i="4"/>
  <c r="I380" i="4"/>
  <c r="J380" i="4" s="1"/>
  <c r="G380" i="4" s="1"/>
  <c r="C379" i="4"/>
  <c r="I379" i="4"/>
  <c r="J379" i="4" s="1"/>
  <c r="G379" i="4" s="1"/>
  <c r="C378" i="4"/>
  <c r="I378" i="4"/>
  <c r="J378" i="4" s="1"/>
  <c r="G378" i="4" s="1"/>
  <c r="C377" i="4"/>
  <c r="I377" i="4"/>
  <c r="J377" i="4" s="1"/>
  <c r="G377" i="4" s="1"/>
  <c r="C376" i="4"/>
  <c r="I376" i="4"/>
  <c r="J376" i="4" s="1"/>
  <c r="G376" i="4" s="1"/>
  <c r="C375" i="4"/>
  <c r="I375" i="4"/>
  <c r="J375" i="4" s="1"/>
  <c r="G375" i="4" s="1"/>
  <c r="C374" i="4"/>
  <c r="I374" i="4"/>
  <c r="J374" i="4" s="1"/>
  <c r="G374" i="4" s="1"/>
  <c r="C373" i="4"/>
  <c r="I373" i="4"/>
  <c r="J373" i="4" s="1"/>
  <c r="G373" i="4" s="1"/>
  <c r="C372" i="4"/>
  <c r="I372" i="4"/>
  <c r="J372" i="4" s="1"/>
  <c r="G372" i="4" s="1"/>
  <c r="C371" i="4"/>
  <c r="I371" i="4"/>
  <c r="J371" i="4" s="1"/>
  <c r="G371" i="4" s="1"/>
  <c r="C370" i="4"/>
  <c r="I370" i="4"/>
  <c r="J370" i="4" s="1"/>
  <c r="G370" i="4" s="1"/>
  <c r="C369" i="4"/>
  <c r="I369" i="4"/>
  <c r="J369" i="4" s="1"/>
  <c r="G369" i="4" s="1"/>
  <c r="C368" i="4"/>
  <c r="I368" i="4"/>
  <c r="J368" i="4" s="1"/>
  <c r="G368" i="4" s="1"/>
  <c r="C367" i="4"/>
  <c r="I367" i="4"/>
  <c r="J367" i="4" s="1"/>
  <c r="G367" i="4" s="1"/>
  <c r="C366" i="4"/>
  <c r="I366" i="4"/>
  <c r="J366" i="4" s="1"/>
  <c r="G366" i="4" s="1"/>
  <c r="C365" i="4"/>
  <c r="I365" i="4"/>
  <c r="J365" i="4" s="1"/>
  <c r="G365" i="4" s="1"/>
  <c r="C364" i="4"/>
  <c r="I364" i="4"/>
  <c r="J364" i="4" s="1"/>
  <c r="G364" i="4" s="1"/>
  <c r="C363" i="4"/>
  <c r="I363" i="4"/>
  <c r="J363" i="4" s="1"/>
  <c r="G363" i="4" s="1"/>
  <c r="C362" i="4"/>
  <c r="I362" i="4"/>
  <c r="J362" i="4" s="1"/>
  <c r="G362" i="4" s="1"/>
  <c r="C361" i="4"/>
  <c r="I361" i="4"/>
  <c r="J361" i="4" s="1"/>
  <c r="G361" i="4" s="1"/>
  <c r="C360" i="4"/>
  <c r="I360" i="4"/>
  <c r="J360" i="4" s="1"/>
  <c r="G360" i="4" s="1"/>
  <c r="C359" i="4"/>
  <c r="I359" i="4"/>
  <c r="J359" i="4" s="1"/>
  <c r="G359" i="4" s="1"/>
  <c r="C358" i="4"/>
  <c r="I358" i="4"/>
  <c r="J358" i="4" s="1"/>
  <c r="G358" i="4" s="1"/>
  <c r="C357" i="4"/>
  <c r="I357" i="4"/>
  <c r="J357" i="4" s="1"/>
  <c r="G357" i="4" s="1"/>
  <c r="C356" i="4"/>
  <c r="I356" i="4"/>
  <c r="J356" i="4" s="1"/>
  <c r="G356" i="4" s="1"/>
  <c r="C355" i="4"/>
  <c r="I355" i="4"/>
  <c r="J355" i="4" s="1"/>
  <c r="G355" i="4" s="1"/>
  <c r="C354" i="4"/>
  <c r="I354" i="4"/>
  <c r="J354" i="4" s="1"/>
  <c r="G354" i="4" s="1"/>
  <c r="C353" i="4"/>
  <c r="I353" i="4"/>
  <c r="J353" i="4" s="1"/>
  <c r="G353" i="4" s="1"/>
  <c r="C352" i="4" l="1"/>
  <c r="I352" i="4"/>
  <c r="J352" i="4" s="1"/>
  <c r="G352" i="4" s="1"/>
  <c r="C351" i="4"/>
  <c r="I351" i="4"/>
  <c r="J351" i="4" s="1"/>
  <c r="G351" i="4" s="1"/>
  <c r="C350" i="4"/>
  <c r="I350" i="4"/>
  <c r="J350" i="4" s="1"/>
  <c r="G350" i="4" s="1"/>
  <c r="C349" i="4"/>
  <c r="I349" i="4"/>
  <c r="J349" i="4" s="1"/>
  <c r="G349" i="4" s="1"/>
  <c r="C149" i="3" l="1"/>
  <c r="I149" i="3"/>
  <c r="J149" i="3" s="1"/>
  <c r="K149" i="3" s="1"/>
  <c r="C348" i="4"/>
  <c r="I348" i="4"/>
  <c r="J348" i="4" s="1"/>
  <c r="G348" i="4" s="1"/>
  <c r="C347" i="4"/>
  <c r="I347" i="4"/>
  <c r="J347" i="4" s="1"/>
  <c r="G347" i="4" s="1"/>
  <c r="C346" i="4"/>
  <c r="I346" i="4"/>
  <c r="J346" i="4" s="1"/>
  <c r="G346" i="4" s="1"/>
  <c r="C345" i="4"/>
  <c r="I345" i="4"/>
  <c r="J345" i="4" s="1"/>
  <c r="G345" i="4" s="1"/>
  <c r="C344" i="4"/>
  <c r="I344" i="4"/>
  <c r="J344" i="4" s="1"/>
  <c r="G344" i="4" s="1"/>
  <c r="C343" i="4" l="1"/>
  <c r="I343" i="4"/>
  <c r="J343" i="4" s="1"/>
  <c r="G343" i="4" s="1"/>
  <c r="C148" i="3"/>
  <c r="I148" i="3"/>
  <c r="J148" i="3" s="1"/>
  <c r="K148" i="3" s="1"/>
  <c r="C147" i="3"/>
  <c r="I147" i="3"/>
  <c r="J147" i="3" s="1"/>
  <c r="K147" i="3" s="1"/>
  <c r="C146" i="3"/>
  <c r="I146" i="3"/>
  <c r="J146" i="3" s="1"/>
  <c r="K146" i="3" s="1"/>
  <c r="C145" i="3"/>
  <c r="I145" i="3"/>
  <c r="J145" i="3" s="1"/>
  <c r="K145" i="3" s="1"/>
  <c r="C144" i="3"/>
  <c r="I144" i="3"/>
  <c r="J144" i="3" s="1"/>
  <c r="K144" i="3" s="1"/>
  <c r="C143" i="3"/>
  <c r="I143" i="3"/>
  <c r="J143" i="3" s="1"/>
  <c r="K143" i="3" s="1"/>
  <c r="C142" i="3"/>
  <c r="I142" i="3"/>
  <c r="J142" i="3" s="1"/>
  <c r="K142" i="3" s="1"/>
  <c r="C141" i="3"/>
  <c r="I141" i="3"/>
  <c r="J141" i="3" s="1"/>
  <c r="K141" i="3" s="1"/>
  <c r="C140" i="3"/>
  <c r="I140" i="3"/>
  <c r="J140" i="3" s="1"/>
  <c r="K140" i="3" s="1"/>
  <c r="C139" i="3"/>
  <c r="I139" i="3"/>
  <c r="J139" i="3" s="1"/>
  <c r="K139" i="3" s="1"/>
  <c r="C138" i="3"/>
  <c r="I138" i="3"/>
  <c r="J138" i="3" s="1"/>
  <c r="K138" i="3" s="1"/>
  <c r="C137" i="3"/>
  <c r="I137" i="3"/>
  <c r="J137" i="3" s="1"/>
  <c r="K137" i="3" s="1"/>
  <c r="C342" i="4"/>
  <c r="I342" i="4"/>
  <c r="J342" i="4" s="1"/>
  <c r="G342" i="4" s="1"/>
  <c r="C341" i="4"/>
  <c r="I341" i="4"/>
  <c r="J341" i="4" s="1"/>
  <c r="G341" i="4" s="1"/>
  <c r="C340" i="4"/>
  <c r="I340" i="4"/>
  <c r="J340" i="4" s="1"/>
  <c r="G340" i="4" s="1"/>
  <c r="C339" i="4"/>
  <c r="I339" i="4"/>
  <c r="J339" i="4" s="1"/>
  <c r="G339" i="4" s="1"/>
  <c r="C338" i="4"/>
  <c r="I338" i="4"/>
  <c r="J338" i="4" s="1"/>
  <c r="G338" i="4" s="1"/>
  <c r="C337" i="4"/>
  <c r="I337" i="4"/>
  <c r="J337" i="4" s="1"/>
  <c r="G337" i="4" s="1"/>
  <c r="C336" i="4"/>
  <c r="I336" i="4"/>
  <c r="J336" i="4" s="1"/>
  <c r="G336" i="4" s="1"/>
  <c r="C335" i="4"/>
  <c r="I335" i="4"/>
  <c r="J335" i="4" s="1"/>
  <c r="G335" i="4" s="1"/>
  <c r="C334" i="4"/>
  <c r="I334" i="4"/>
  <c r="J334" i="4" s="1"/>
  <c r="G334" i="4" s="1"/>
  <c r="C333" i="4"/>
  <c r="I333" i="4"/>
  <c r="J333" i="4" s="1"/>
  <c r="G333" i="4" s="1"/>
  <c r="C332" i="4"/>
  <c r="I332" i="4"/>
  <c r="J332" i="4" s="1"/>
  <c r="G332" i="4" s="1"/>
  <c r="C331" i="4"/>
  <c r="I331" i="4"/>
  <c r="J331" i="4" s="1"/>
  <c r="G331" i="4" s="1"/>
  <c r="C330" i="4" l="1"/>
  <c r="I330" i="4"/>
  <c r="J330" i="4" s="1"/>
  <c r="G330" i="4" s="1"/>
  <c r="C329" i="4"/>
  <c r="I329" i="4"/>
  <c r="J329" i="4" s="1"/>
  <c r="G329" i="4" s="1"/>
  <c r="C328" i="4"/>
  <c r="I328" i="4"/>
  <c r="J328" i="4" s="1"/>
  <c r="G328" i="4" s="1"/>
  <c r="C327" i="4" l="1"/>
  <c r="I327" i="4"/>
  <c r="J327" i="4" s="1"/>
  <c r="G327" i="4" s="1"/>
  <c r="C326" i="4"/>
  <c r="I326" i="4"/>
  <c r="J326" i="4" s="1"/>
  <c r="G326" i="4" s="1"/>
  <c r="C325" i="4"/>
  <c r="I325" i="4"/>
  <c r="J325" i="4" s="1"/>
  <c r="G325" i="4" s="1"/>
  <c r="C324" i="4" l="1"/>
  <c r="I324" i="4"/>
  <c r="J324" i="4" s="1"/>
  <c r="G324" i="4" s="1"/>
  <c r="C323" i="4" l="1"/>
  <c r="I323" i="4"/>
  <c r="J323" i="4" s="1"/>
  <c r="G323" i="4" s="1"/>
  <c r="C322" i="4"/>
  <c r="I322" i="4"/>
  <c r="J322" i="4" s="1"/>
  <c r="G322" i="4" s="1"/>
  <c r="C321" i="4"/>
  <c r="I321" i="4"/>
  <c r="J321" i="4" s="1"/>
  <c r="G321" i="4" s="1"/>
  <c r="C320" i="4"/>
  <c r="I320" i="4"/>
  <c r="J320" i="4" s="1"/>
  <c r="G320" i="4" s="1"/>
  <c r="C15" i="4"/>
  <c r="I15" i="4"/>
  <c r="J15" i="4" s="1"/>
  <c r="G15" i="4" s="1"/>
  <c r="C318" i="4"/>
  <c r="I318" i="4"/>
  <c r="J318" i="4" s="1"/>
  <c r="G318" i="4" s="1"/>
  <c r="C317" i="4"/>
  <c r="I317" i="4"/>
  <c r="J317" i="4" s="1"/>
  <c r="G317" i="4" s="1"/>
  <c r="C316" i="4"/>
  <c r="I316" i="4"/>
  <c r="J316" i="4" s="1"/>
  <c r="G316" i="4" s="1"/>
  <c r="C315" i="4"/>
  <c r="I315" i="4"/>
  <c r="J315" i="4" s="1"/>
  <c r="G315" i="4" s="1"/>
  <c r="C16" i="4"/>
  <c r="I16" i="4"/>
  <c r="J16" i="4" s="1"/>
  <c r="G16" i="4" s="1"/>
  <c r="C17" i="4"/>
  <c r="I17" i="4"/>
  <c r="J17" i="4" s="1"/>
  <c r="G17" i="4" s="1"/>
  <c r="C312" i="4"/>
  <c r="I312" i="4"/>
  <c r="J312" i="4" s="1"/>
  <c r="G312" i="4" s="1"/>
  <c r="C136" i="3"/>
  <c r="I136" i="3"/>
  <c r="J136" i="3" s="1"/>
  <c r="K136" i="3" s="1"/>
  <c r="C135" i="3"/>
  <c r="I135" i="3"/>
  <c r="J135" i="3" s="1"/>
  <c r="K135" i="3" s="1"/>
  <c r="C134" i="3"/>
  <c r="I134" i="3"/>
  <c r="J134" i="3" s="1"/>
  <c r="K134" i="3" s="1"/>
  <c r="C133" i="3"/>
  <c r="I133" i="3"/>
  <c r="J133" i="3" s="1"/>
  <c r="K133" i="3" s="1"/>
  <c r="C132" i="3"/>
  <c r="I132" i="3"/>
  <c r="J132" i="3" s="1"/>
  <c r="K132" i="3" s="1"/>
  <c r="C131" i="3"/>
  <c r="I131" i="3"/>
  <c r="J131" i="3" s="1"/>
  <c r="K131" i="3" s="1"/>
  <c r="C130" i="3"/>
  <c r="I130" i="3"/>
  <c r="J130" i="3" s="1"/>
  <c r="K130" i="3" s="1"/>
  <c r="C129" i="3"/>
  <c r="I129" i="3"/>
  <c r="J129" i="3" s="1"/>
  <c r="K129" i="3" s="1"/>
  <c r="C128" i="3"/>
  <c r="I128" i="3"/>
  <c r="J128" i="3" s="1"/>
  <c r="K128" i="3" s="1"/>
  <c r="C127" i="3"/>
  <c r="I127" i="3"/>
  <c r="J127" i="3" s="1"/>
  <c r="K127" i="3" s="1"/>
  <c r="C126" i="3"/>
  <c r="I126" i="3"/>
  <c r="J126" i="3" s="1"/>
  <c r="K126" i="3" s="1"/>
  <c r="C125" i="3"/>
  <c r="I125" i="3"/>
  <c r="J125" i="3" s="1"/>
  <c r="K125" i="3" s="1"/>
  <c r="C124" i="3"/>
  <c r="I124" i="3"/>
  <c r="J124" i="3" s="1"/>
  <c r="K124" i="3" s="1"/>
  <c r="C123" i="3"/>
  <c r="I123" i="3"/>
  <c r="J123" i="3" s="1"/>
  <c r="K123" i="3" s="1"/>
  <c r="C122" i="3"/>
  <c r="I122" i="3"/>
  <c r="J122" i="3" s="1"/>
  <c r="K122" i="3" s="1"/>
  <c r="C121" i="3"/>
  <c r="I121" i="3"/>
  <c r="J121" i="3" s="1"/>
  <c r="K121" i="3" s="1"/>
  <c r="C120" i="3"/>
  <c r="I120" i="3"/>
  <c r="J120" i="3" s="1"/>
  <c r="K120" i="3" s="1"/>
  <c r="C119" i="3"/>
  <c r="I119" i="3"/>
  <c r="J119" i="3" s="1"/>
  <c r="K119" i="3" s="1"/>
  <c r="C311" i="4" l="1"/>
  <c r="I311" i="4"/>
  <c r="J311" i="4" s="1"/>
  <c r="G311" i="4" s="1"/>
  <c r="C118" i="3"/>
  <c r="I118" i="3"/>
  <c r="J118" i="3" s="1"/>
  <c r="K118" i="3" s="1"/>
  <c r="C117" i="3"/>
  <c r="I117" i="3"/>
  <c r="J117" i="3" s="1"/>
  <c r="K117" i="3" s="1"/>
  <c r="C116" i="3"/>
  <c r="I116" i="3"/>
  <c r="J116" i="3" s="1"/>
  <c r="K116" i="3" s="1"/>
  <c r="C115" i="3"/>
  <c r="I115" i="3"/>
  <c r="J115" i="3" s="1"/>
  <c r="K115" i="3" s="1"/>
  <c r="C114" i="3"/>
  <c r="I114" i="3"/>
  <c r="J114" i="3" s="1"/>
  <c r="K114" i="3" s="1"/>
  <c r="C245" i="4"/>
  <c r="I245" i="4"/>
  <c r="J245" i="4" s="1"/>
  <c r="G245" i="4" s="1"/>
  <c r="C113" i="3"/>
  <c r="I113" i="3"/>
  <c r="J113" i="3" s="1"/>
  <c r="K113" i="3" s="1"/>
  <c r="C309" i="4"/>
  <c r="I309" i="4"/>
  <c r="J309" i="4" s="1"/>
  <c r="G309" i="4" s="1"/>
  <c r="C308" i="4"/>
  <c r="I308" i="4"/>
  <c r="J308" i="4" s="1"/>
  <c r="G308" i="4" s="1"/>
  <c r="C307" i="4"/>
  <c r="I307" i="4"/>
  <c r="J307" i="4" s="1"/>
  <c r="G307" i="4" s="1"/>
  <c r="C306" i="4"/>
  <c r="I306" i="4"/>
  <c r="J306" i="4" s="1"/>
  <c r="G306" i="4" s="1"/>
  <c r="C310" i="4"/>
  <c r="I310" i="4"/>
  <c r="J310" i="4" s="1"/>
  <c r="G310" i="4" s="1"/>
  <c r="C304" i="4"/>
  <c r="I304" i="4"/>
  <c r="J304" i="4" s="1"/>
  <c r="G304" i="4" s="1"/>
  <c r="C216" i="4"/>
  <c r="I216" i="4"/>
  <c r="J216" i="4" s="1"/>
  <c r="G216" i="4" s="1"/>
  <c r="C302" i="4"/>
  <c r="I302" i="4"/>
  <c r="J302" i="4" s="1"/>
  <c r="G302" i="4" s="1"/>
  <c r="C301" i="4"/>
  <c r="I301" i="4"/>
  <c r="J301" i="4" s="1"/>
  <c r="G301" i="4" s="1"/>
  <c r="C300" i="4" l="1"/>
  <c r="I300" i="4"/>
  <c r="J300" i="4" s="1"/>
  <c r="G300" i="4" s="1"/>
  <c r="C299" i="4"/>
  <c r="I299" i="4"/>
  <c r="J299" i="4" s="1"/>
  <c r="G299" i="4" s="1"/>
  <c r="C298" i="4"/>
  <c r="I298" i="4"/>
  <c r="J298" i="4" s="1"/>
  <c r="G298" i="4" s="1"/>
  <c r="C297" i="4"/>
  <c r="I297" i="4"/>
  <c r="J297" i="4" s="1"/>
  <c r="G297" i="4" s="1"/>
  <c r="C296" i="4"/>
  <c r="I296" i="4"/>
  <c r="J296" i="4" s="1"/>
  <c r="G296" i="4" s="1"/>
  <c r="C295" i="4"/>
  <c r="I295" i="4"/>
  <c r="J295" i="4" s="1"/>
  <c r="G295" i="4" s="1"/>
  <c r="C294" i="4"/>
  <c r="I294" i="4"/>
  <c r="J294" i="4" s="1"/>
  <c r="G294" i="4" s="1"/>
  <c r="C293" i="4"/>
  <c r="I293" i="4"/>
  <c r="J293" i="4" s="1"/>
  <c r="G293" i="4" s="1"/>
  <c r="C292" i="4"/>
  <c r="I292" i="4"/>
  <c r="J292" i="4" s="1"/>
  <c r="G292" i="4" s="1"/>
  <c r="C291" i="4"/>
  <c r="I291" i="4"/>
  <c r="J291" i="4" s="1"/>
  <c r="G291" i="4" s="1"/>
  <c r="C112" i="3" l="1"/>
  <c r="I112" i="3"/>
  <c r="J112" i="3" s="1"/>
  <c r="K112" i="3" s="1"/>
  <c r="C111" i="3"/>
  <c r="I111" i="3"/>
  <c r="J111" i="3" s="1"/>
  <c r="K111" i="3" s="1"/>
  <c r="C110" i="3"/>
  <c r="I110" i="3"/>
  <c r="J110" i="3" s="1"/>
  <c r="K110" i="3" s="1"/>
  <c r="C109" i="3"/>
  <c r="I109" i="3"/>
  <c r="J109" i="3" s="1"/>
  <c r="K109" i="3" s="1"/>
  <c r="C108" i="3"/>
  <c r="I108" i="3"/>
  <c r="J108" i="3" s="1"/>
  <c r="K108" i="3" s="1"/>
  <c r="C107" i="3"/>
  <c r="I107" i="3"/>
  <c r="J107" i="3" s="1"/>
  <c r="K107" i="3" s="1"/>
  <c r="C158" i="4"/>
  <c r="I158" i="4"/>
  <c r="J158" i="4" s="1"/>
  <c r="G158" i="4" s="1"/>
  <c r="C50" i="4"/>
  <c r="I50" i="4"/>
  <c r="J50" i="4" s="1"/>
  <c r="G50" i="4" s="1"/>
  <c r="C267" i="4"/>
  <c r="I267" i="4"/>
  <c r="J267" i="4" s="1"/>
  <c r="G267" i="4" s="1"/>
  <c r="C29" i="4"/>
  <c r="I29" i="4"/>
  <c r="J29" i="4" s="1"/>
  <c r="G29" i="4" s="1"/>
  <c r="C286" i="4"/>
  <c r="I286" i="4"/>
  <c r="J286" i="4" s="1"/>
  <c r="G286" i="4" s="1"/>
  <c r="C285" i="4" l="1"/>
  <c r="I285" i="4"/>
  <c r="J285" i="4" s="1"/>
  <c r="G285" i="4" s="1"/>
  <c r="C284" i="4"/>
  <c r="I284" i="4"/>
  <c r="J284" i="4" s="1"/>
  <c r="G284" i="4" s="1"/>
  <c r="C283" i="4"/>
  <c r="I283" i="4"/>
  <c r="J283" i="4" s="1"/>
  <c r="G283" i="4" s="1"/>
  <c r="C106" i="3" l="1"/>
  <c r="I106" i="3"/>
  <c r="J106" i="3" s="1"/>
  <c r="K106" i="3" s="1"/>
  <c r="C105" i="3"/>
  <c r="I105" i="3"/>
  <c r="J105" i="3" s="1"/>
  <c r="K105" i="3" s="1"/>
  <c r="C104" i="3"/>
  <c r="I104" i="3"/>
  <c r="J104" i="3" s="1"/>
  <c r="K104" i="3" s="1"/>
  <c r="C103" i="3"/>
  <c r="I103" i="3"/>
  <c r="J103" i="3" s="1"/>
  <c r="K103" i="3" s="1"/>
  <c r="C102" i="3"/>
  <c r="I102" i="3"/>
  <c r="J102" i="3" s="1"/>
  <c r="K102" i="3" s="1"/>
  <c r="C101" i="3"/>
  <c r="I101" i="3"/>
  <c r="J101" i="3" s="1"/>
  <c r="K101" i="3" s="1"/>
  <c r="C100" i="3"/>
  <c r="I100" i="3"/>
  <c r="J100" i="3" s="1"/>
  <c r="K100" i="3" s="1"/>
  <c r="C99" i="3"/>
  <c r="I99" i="3"/>
  <c r="J99" i="3" s="1"/>
  <c r="K99" i="3" s="1"/>
  <c r="C98" i="3"/>
  <c r="I98" i="3"/>
  <c r="J98" i="3" s="1"/>
  <c r="K98" i="3" s="1"/>
  <c r="C97" i="3"/>
  <c r="I97" i="3"/>
  <c r="J97" i="3" s="1"/>
  <c r="K97" i="3" s="1"/>
  <c r="C96" i="3"/>
  <c r="I96" i="3"/>
  <c r="J96" i="3" s="1"/>
  <c r="K96" i="3" s="1"/>
  <c r="C95" i="3"/>
  <c r="I95" i="3"/>
  <c r="J95" i="3" s="1"/>
  <c r="K95" i="3" s="1"/>
  <c r="C94" i="3"/>
  <c r="I94" i="3"/>
  <c r="J94" i="3" s="1"/>
  <c r="K94" i="3" s="1"/>
  <c r="C93" i="3"/>
  <c r="I93" i="3"/>
  <c r="J93" i="3" s="1"/>
  <c r="K93" i="3" s="1"/>
  <c r="C92" i="3"/>
  <c r="I92" i="3"/>
  <c r="J92" i="3" s="1"/>
  <c r="K92" i="3" s="1"/>
  <c r="C91" i="3"/>
  <c r="I91" i="3"/>
  <c r="J91" i="3" s="1"/>
  <c r="K91" i="3" s="1"/>
  <c r="C90" i="3"/>
  <c r="I90" i="3"/>
  <c r="J90" i="3" s="1"/>
  <c r="K90" i="3" s="1"/>
  <c r="C89" i="3"/>
  <c r="I89" i="3"/>
  <c r="J89" i="3" s="1"/>
  <c r="K89" i="3" s="1"/>
  <c r="C282" i="4"/>
  <c r="I282" i="4"/>
  <c r="J282" i="4" s="1"/>
  <c r="G282" i="4" s="1"/>
  <c r="C281" i="4"/>
  <c r="I281" i="4"/>
  <c r="J281" i="4" s="1"/>
  <c r="G281" i="4" s="1"/>
  <c r="C280" i="4"/>
  <c r="I280" i="4"/>
  <c r="J280" i="4" s="1"/>
  <c r="G280" i="4" s="1"/>
  <c r="C279" i="4"/>
  <c r="I279" i="4"/>
  <c r="J279" i="4" s="1"/>
  <c r="G279" i="4" s="1"/>
  <c r="C278" i="4"/>
  <c r="I278" i="4"/>
  <c r="J278" i="4" s="1"/>
  <c r="G278" i="4" s="1"/>
  <c r="C277" i="4"/>
  <c r="I277" i="4"/>
  <c r="J277" i="4" s="1"/>
  <c r="G277" i="4" s="1"/>
  <c r="C276" i="4"/>
  <c r="I276" i="4"/>
  <c r="J276" i="4" s="1"/>
  <c r="G276" i="4" s="1"/>
  <c r="C275" i="4"/>
  <c r="I275" i="4"/>
  <c r="J275" i="4" s="1"/>
  <c r="G275" i="4" s="1"/>
  <c r="C274" i="4"/>
  <c r="I274" i="4"/>
  <c r="J274" i="4" s="1"/>
  <c r="G274" i="4" s="1"/>
  <c r="C273" i="4"/>
  <c r="I273" i="4"/>
  <c r="J273" i="4" s="1"/>
  <c r="G273" i="4" s="1"/>
  <c r="C272" i="4"/>
  <c r="I272" i="4"/>
  <c r="J272" i="4" s="1"/>
  <c r="G272" i="4" s="1"/>
  <c r="C120" i="4"/>
  <c r="I120" i="4"/>
  <c r="J120" i="4" s="1"/>
  <c r="G120" i="4" s="1"/>
  <c r="C157" i="4"/>
  <c r="I157" i="4"/>
  <c r="J157" i="4" s="1"/>
  <c r="G157" i="4" s="1"/>
  <c r="C255" i="4"/>
  <c r="I255" i="4"/>
  <c r="J255" i="4" s="1"/>
  <c r="G255" i="4" s="1"/>
  <c r="C30" i="4"/>
  <c r="I30" i="4"/>
  <c r="J30" i="4" s="1"/>
  <c r="G30" i="4" s="1"/>
  <c r="C248" i="4"/>
  <c r="I248" i="4"/>
  <c r="J248" i="4" s="1"/>
  <c r="G248" i="4" s="1"/>
  <c r="C127" i="4"/>
  <c r="I127" i="4"/>
  <c r="J127" i="4" s="1"/>
  <c r="G127" i="4" s="1"/>
  <c r="C265" i="4"/>
  <c r="I265" i="4"/>
  <c r="J265" i="4" s="1"/>
  <c r="G265" i="4" s="1"/>
  <c r="C264" i="4"/>
  <c r="I264" i="4"/>
  <c r="J264" i="4" s="1"/>
  <c r="G264" i="4" s="1"/>
  <c r="C263" i="4"/>
  <c r="I263" i="4"/>
  <c r="J263" i="4" s="1"/>
  <c r="G263" i="4" s="1"/>
  <c r="C262" i="4"/>
  <c r="I262" i="4"/>
  <c r="J262" i="4" s="1"/>
  <c r="G262" i="4" s="1"/>
  <c r="C88" i="3"/>
  <c r="I88" i="3"/>
  <c r="J88" i="3" s="1"/>
  <c r="K88" i="3" s="1"/>
  <c r="C261" i="4"/>
  <c r="I261" i="4"/>
  <c r="J261" i="4" s="1"/>
  <c r="G261" i="4" s="1"/>
  <c r="C260" i="4"/>
  <c r="I260" i="4"/>
  <c r="J260" i="4" s="1"/>
  <c r="G260" i="4" s="1"/>
  <c r="C259" i="4"/>
  <c r="I259" i="4"/>
  <c r="J259" i="4" s="1"/>
  <c r="G259" i="4" s="1"/>
  <c r="C258" i="4"/>
  <c r="I258" i="4"/>
  <c r="J258" i="4" s="1"/>
  <c r="G258" i="4" s="1"/>
  <c r="C87" i="3" l="1"/>
  <c r="I87" i="3"/>
  <c r="J87" i="3" s="1"/>
  <c r="K87" i="3" s="1"/>
  <c r="C86" i="3"/>
  <c r="I86" i="3"/>
  <c r="J86" i="3" s="1"/>
  <c r="K86" i="3" s="1"/>
  <c r="C257" i="4" l="1"/>
  <c r="I257" i="4"/>
  <c r="J257" i="4" s="1"/>
  <c r="G257" i="4" s="1"/>
  <c r="C256" i="4"/>
  <c r="I256" i="4"/>
  <c r="J256" i="4" s="1"/>
  <c r="G256" i="4" s="1"/>
  <c r="C268" i="4"/>
  <c r="I268" i="4"/>
  <c r="J268" i="4" s="1"/>
  <c r="G268" i="4" s="1"/>
  <c r="C254" i="4" l="1"/>
  <c r="I254" i="4"/>
  <c r="J254" i="4" s="1"/>
  <c r="G254" i="4" s="1"/>
  <c r="C253" i="4"/>
  <c r="I253" i="4"/>
  <c r="J253" i="4" s="1"/>
  <c r="G253" i="4" s="1"/>
  <c r="C252" i="4" l="1"/>
  <c r="I252" i="4"/>
  <c r="J252" i="4" s="1"/>
  <c r="G252" i="4" s="1"/>
  <c r="C251" i="4"/>
  <c r="I251" i="4"/>
  <c r="J251" i="4" s="1"/>
  <c r="G251" i="4" s="1"/>
  <c r="C250" i="4" l="1"/>
  <c r="I250" i="4"/>
  <c r="J250" i="4" s="1"/>
  <c r="G250" i="4" s="1"/>
  <c r="C249" i="4"/>
  <c r="I249" i="4"/>
  <c r="J249" i="4" s="1"/>
  <c r="G249" i="4" s="1"/>
  <c r="C18" i="4"/>
  <c r="I18" i="4"/>
  <c r="J18" i="4" s="1"/>
  <c r="G18" i="4" s="1"/>
  <c r="C203" i="4"/>
  <c r="I203" i="4"/>
  <c r="J203" i="4" s="1"/>
  <c r="G203" i="4" s="1"/>
  <c r="C204" i="4"/>
  <c r="I204" i="4"/>
  <c r="J204" i="4" s="1"/>
  <c r="G204" i="4" s="1"/>
  <c r="C205" i="4"/>
  <c r="I205" i="4"/>
  <c r="J205" i="4" s="1"/>
  <c r="G205" i="4" s="1"/>
  <c r="C271" i="4"/>
  <c r="I271" i="4"/>
  <c r="J271" i="4" s="1"/>
  <c r="G271" i="4" s="1"/>
  <c r="C227" i="4"/>
  <c r="I227" i="4"/>
  <c r="J227" i="4" s="1"/>
  <c r="G227" i="4" s="1"/>
  <c r="C243" i="4"/>
  <c r="I243" i="4"/>
  <c r="J243" i="4" s="1"/>
  <c r="G243" i="4" s="1"/>
  <c r="C241" i="4"/>
  <c r="I241" i="4"/>
  <c r="J241" i="4" s="1"/>
  <c r="G241" i="4" s="1"/>
  <c r="C240" i="4"/>
  <c r="I240" i="4"/>
  <c r="J240" i="4" s="1"/>
  <c r="G240" i="4" s="1"/>
  <c r="C239" i="4"/>
  <c r="I239" i="4"/>
  <c r="J239" i="4" s="1"/>
  <c r="G239" i="4" s="1"/>
  <c r="C238" i="4"/>
  <c r="I238" i="4"/>
  <c r="J238" i="4" s="1"/>
  <c r="G238" i="4" s="1"/>
  <c r="C237" i="4"/>
  <c r="I237" i="4"/>
  <c r="J237" i="4" s="1"/>
  <c r="G237" i="4" s="1"/>
  <c r="C236" i="4"/>
  <c r="I236" i="4"/>
  <c r="J236" i="4" s="1"/>
  <c r="G236" i="4" s="1"/>
  <c r="C235" i="4"/>
  <c r="I235" i="4"/>
  <c r="J235" i="4" s="1"/>
  <c r="G235" i="4" s="1"/>
  <c r="C234" i="4"/>
  <c r="I234" i="4"/>
  <c r="J234" i="4" s="1"/>
  <c r="G234" i="4" s="1"/>
  <c r="C233" i="4"/>
  <c r="I233" i="4"/>
  <c r="J233" i="4" s="1"/>
  <c r="G233" i="4" s="1"/>
  <c r="C232" i="4"/>
  <c r="I232" i="4"/>
  <c r="J232" i="4" s="1"/>
  <c r="G232" i="4" s="1"/>
  <c r="C231" i="4"/>
  <c r="I231" i="4"/>
  <c r="J231" i="4" s="1"/>
  <c r="G231" i="4" s="1"/>
  <c r="C230" i="4"/>
  <c r="I230" i="4"/>
  <c r="J230" i="4" s="1"/>
  <c r="G230" i="4" s="1"/>
  <c r="C172" i="4" l="1"/>
  <c r="I172" i="4"/>
  <c r="J172" i="4" s="1"/>
  <c r="G172" i="4" s="1"/>
  <c r="C228" i="4"/>
  <c r="I228" i="4"/>
  <c r="J228" i="4" s="1"/>
  <c r="G228" i="4" s="1"/>
  <c r="C229" i="4"/>
  <c r="I229" i="4"/>
  <c r="J229" i="4" s="1"/>
  <c r="G229" i="4" s="1"/>
  <c r="C226" i="4"/>
  <c r="I226" i="4"/>
  <c r="J226" i="4" s="1"/>
  <c r="G226" i="4" s="1"/>
  <c r="C225" i="4"/>
  <c r="I225" i="4"/>
  <c r="J225" i="4" s="1"/>
  <c r="G225" i="4" s="1"/>
  <c r="C224" i="4"/>
  <c r="I224" i="4"/>
  <c r="J224" i="4" s="1"/>
  <c r="G224" i="4" s="1"/>
  <c r="C223" i="4"/>
  <c r="I223" i="4"/>
  <c r="J223" i="4" s="1"/>
  <c r="G223" i="4" s="1"/>
  <c r="C222" i="4"/>
  <c r="I222" i="4"/>
  <c r="J222" i="4" s="1"/>
  <c r="G222" i="4" s="1"/>
  <c r="C313" i="4"/>
  <c r="I313" i="4"/>
  <c r="J313" i="4" s="1"/>
  <c r="G313" i="4" s="1"/>
  <c r="C92" i="4"/>
  <c r="I92" i="4"/>
  <c r="J92" i="4" s="1"/>
  <c r="G92" i="4" s="1"/>
  <c r="C85" i="3"/>
  <c r="I85" i="3"/>
  <c r="J85" i="3" s="1"/>
  <c r="K85" i="3" s="1"/>
  <c r="C84" i="3"/>
  <c r="I84" i="3"/>
  <c r="J84" i="3" s="1"/>
  <c r="K84" i="3" s="1"/>
  <c r="C83" i="3"/>
  <c r="I83" i="3"/>
  <c r="J83" i="3" s="1"/>
  <c r="K83" i="3" s="1"/>
  <c r="C82" i="3"/>
  <c r="I82" i="3"/>
  <c r="J82" i="3" s="1"/>
  <c r="K82" i="3" s="1"/>
  <c r="C81" i="3"/>
  <c r="I81" i="3"/>
  <c r="J81" i="3" s="1"/>
  <c r="K81" i="3" s="1"/>
  <c r="C80" i="3"/>
  <c r="I80" i="3"/>
  <c r="J80" i="3" s="1"/>
  <c r="K80" i="3" s="1"/>
  <c r="C59" i="4"/>
  <c r="I59" i="4"/>
  <c r="J59" i="4" s="1"/>
  <c r="G59" i="4" s="1"/>
  <c r="C218" i="4"/>
  <c r="I218" i="4"/>
  <c r="J218" i="4" s="1"/>
  <c r="G218" i="4" s="1"/>
  <c r="C217" i="4"/>
  <c r="I217" i="4"/>
  <c r="J217" i="4" s="1"/>
  <c r="G217" i="4" s="1"/>
  <c r="C270" i="4"/>
  <c r="I270" i="4"/>
  <c r="J270" i="4" s="1"/>
  <c r="G270" i="4" s="1"/>
  <c r="C319" i="4"/>
  <c r="I319" i="4"/>
  <c r="J319" i="4" s="1"/>
  <c r="G319" i="4" s="1"/>
  <c r="C289" i="4"/>
  <c r="I289" i="4"/>
  <c r="J289" i="4" s="1"/>
  <c r="G289" i="4" s="1"/>
  <c r="C49" i="4"/>
  <c r="I49" i="4"/>
  <c r="J49" i="4" s="1"/>
  <c r="G49" i="4" s="1"/>
  <c r="C290" i="4"/>
  <c r="I290" i="4"/>
  <c r="J290" i="4" s="1"/>
  <c r="G290" i="4" s="1"/>
  <c r="C211" i="4"/>
  <c r="I211" i="4"/>
  <c r="J211" i="4" s="1"/>
  <c r="G211" i="4" s="1"/>
  <c r="C220" i="4"/>
  <c r="I220" i="4"/>
  <c r="J220" i="4" s="1"/>
  <c r="G220" i="4" s="1"/>
  <c r="C209" i="4" l="1"/>
  <c r="I209" i="4"/>
  <c r="J209" i="4" s="1"/>
  <c r="G209" i="4" s="1"/>
  <c r="C208" i="4"/>
  <c r="I208" i="4"/>
  <c r="J208" i="4" s="1"/>
  <c r="G208" i="4" s="1"/>
  <c r="C207" i="4"/>
  <c r="I207" i="4"/>
  <c r="J207" i="4" s="1"/>
  <c r="G207" i="4" s="1"/>
  <c r="C206" i="4" l="1"/>
  <c r="I206" i="4"/>
  <c r="J206" i="4" s="1"/>
  <c r="G206" i="4" s="1"/>
  <c r="C79" i="3" l="1"/>
  <c r="I79" i="3"/>
  <c r="J79" i="3" s="1"/>
  <c r="K79" i="3" s="1"/>
  <c r="C78" i="3"/>
  <c r="I78" i="3"/>
  <c r="J78" i="3" s="1"/>
  <c r="K78" i="3" s="1"/>
  <c r="C77" i="3"/>
  <c r="I77" i="3"/>
  <c r="J77" i="3" s="1"/>
  <c r="K77" i="3" s="1"/>
  <c r="C76" i="3"/>
  <c r="I76" i="3"/>
  <c r="J76" i="3" s="1"/>
  <c r="K76" i="3" s="1"/>
  <c r="C75" i="3"/>
  <c r="I75" i="3"/>
  <c r="J75" i="3" s="1"/>
  <c r="K75" i="3" s="1"/>
  <c r="C74" i="3"/>
  <c r="I74" i="3"/>
  <c r="J74" i="3" s="1"/>
  <c r="K74" i="3" s="1"/>
  <c r="C73" i="3"/>
  <c r="I73" i="3"/>
  <c r="J73" i="3" s="1"/>
  <c r="K73" i="3" s="1"/>
  <c r="C72" i="3"/>
  <c r="I72" i="3"/>
  <c r="J72" i="3" s="1"/>
  <c r="K72" i="3" s="1"/>
  <c r="C71" i="3"/>
  <c r="I71" i="3"/>
  <c r="J71" i="3" s="1"/>
  <c r="K71" i="3" s="1"/>
  <c r="C70" i="3"/>
  <c r="I70" i="3"/>
  <c r="J70" i="3" s="1"/>
  <c r="K70" i="3" s="1"/>
  <c r="C69" i="3"/>
  <c r="I69" i="3"/>
  <c r="J69" i="3" s="1"/>
  <c r="K69" i="3" s="1"/>
  <c r="C68" i="3"/>
  <c r="I68" i="3"/>
  <c r="J68" i="3" s="1"/>
  <c r="K68" i="3" s="1"/>
  <c r="C67" i="3"/>
  <c r="I67" i="3"/>
  <c r="J67" i="3" s="1"/>
  <c r="K67" i="3" s="1"/>
  <c r="C66" i="3"/>
  <c r="I66" i="3"/>
  <c r="J66" i="3" s="1"/>
  <c r="K66" i="3" s="1"/>
  <c r="C65" i="3"/>
  <c r="I65" i="3"/>
  <c r="J65" i="3" s="1"/>
  <c r="K65" i="3" s="1"/>
  <c r="C64" i="3"/>
  <c r="I64" i="3"/>
  <c r="J64" i="3" s="1"/>
  <c r="K64" i="3" s="1"/>
  <c r="C63" i="3" l="1"/>
  <c r="I63" i="3"/>
  <c r="J63" i="3" s="1"/>
  <c r="K63" i="3" s="1"/>
  <c r="C62" i="3"/>
  <c r="I62" i="3"/>
  <c r="J62" i="3" s="1"/>
  <c r="K62" i="3" s="1"/>
  <c r="C61" i="3"/>
  <c r="I61" i="3"/>
  <c r="J61" i="3" s="1"/>
  <c r="K61" i="3" s="1"/>
  <c r="C60" i="3"/>
  <c r="I60" i="3"/>
  <c r="J60" i="3" s="1"/>
  <c r="K60" i="3" s="1"/>
  <c r="C244" i="4"/>
  <c r="I244" i="4"/>
  <c r="J244" i="4" s="1"/>
  <c r="G244" i="4" s="1"/>
  <c r="C119" i="4"/>
  <c r="I119" i="4"/>
  <c r="J119" i="4" s="1"/>
  <c r="G119" i="4" s="1"/>
  <c r="C247" i="4"/>
  <c r="I247" i="4"/>
  <c r="J247" i="4" s="1"/>
  <c r="G247" i="4" s="1"/>
  <c r="C202" i="4"/>
  <c r="I202" i="4"/>
  <c r="J202" i="4" s="1"/>
  <c r="G202" i="4" s="1"/>
  <c r="C201" i="4"/>
  <c r="I201" i="4"/>
  <c r="J201" i="4" s="1"/>
  <c r="G201" i="4" s="1"/>
  <c r="C200" i="4"/>
  <c r="I200" i="4"/>
  <c r="J200" i="4" s="1"/>
  <c r="G200" i="4" s="1"/>
  <c r="C199" i="4"/>
  <c r="I199" i="4"/>
  <c r="J199" i="4" s="1"/>
  <c r="G199" i="4" s="1"/>
  <c r="C198" i="4"/>
  <c r="I198" i="4"/>
  <c r="J198" i="4" s="1"/>
  <c r="G198" i="4" s="1"/>
  <c r="C197" i="4"/>
  <c r="I197" i="4"/>
  <c r="J197" i="4" s="1"/>
  <c r="G197" i="4" s="1"/>
  <c r="C196" i="4"/>
  <c r="I196" i="4"/>
  <c r="J196" i="4" s="1"/>
  <c r="G196" i="4" s="1"/>
  <c r="C195" i="4"/>
  <c r="I195" i="4"/>
  <c r="J195" i="4" s="1"/>
  <c r="G195" i="4" s="1"/>
  <c r="K194" i="4"/>
  <c r="C194" i="4"/>
  <c r="I194" i="4"/>
  <c r="J194" i="4" s="1"/>
  <c r="G194" i="4" s="1"/>
  <c r="C193" i="4"/>
  <c r="I193" i="4"/>
  <c r="J193" i="4" s="1"/>
  <c r="G193" i="4" s="1"/>
  <c r="C192" i="4"/>
  <c r="I192" i="4"/>
  <c r="J192" i="4" s="1"/>
  <c r="G192" i="4" s="1"/>
  <c r="C191" i="4"/>
  <c r="I191" i="4"/>
  <c r="J191" i="4" s="1"/>
  <c r="G191" i="4" s="1"/>
  <c r="C190" i="4"/>
  <c r="I190" i="4"/>
  <c r="J190" i="4" s="1"/>
  <c r="G190" i="4" s="1"/>
  <c r="C189" i="4" l="1"/>
  <c r="I189" i="4"/>
  <c r="J189" i="4" s="1"/>
  <c r="G189" i="4" s="1"/>
  <c r="C188" i="4"/>
  <c r="I188" i="4"/>
  <c r="J188" i="4" s="1"/>
  <c r="G188" i="4" s="1"/>
  <c r="C187" i="4"/>
  <c r="I187" i="4"/>
  <c r="J187" i="4" s="1"/>
  <c r="G187" i="4" s="1"/>
  <c r="C186" i="4"/>
  <c r="I186" i="4"/>
  <c r="J186" i="4" s="1"/>
  <c r="G186" i="4" s="1"/>
  <c r="C185" i="4"/>
  <c r="I185" i="4"/>
  <c r="J185" i="4" s="1"/>
  <c r="G185" i="4" s="1"/>
  <c r="C184" i="4"/>
  <c r="I184" i="4"/>
  <c r="J184" i="4" s="1"/>
  <c r="G184" i="4" s="1"/>
  <c r="C183" i="4"/>
  <c r="I183" i="4"/>
  <c r="J183" i="4" s="1"/>
  <c r="G183" i="4" s="1"/>
  <c r="C75" i="4"/>
  <c r="I75" i="4"/>
  <c r="J75" i="4" s="1"/>
  <c r="G75" i="4" s="1"/>
  <c r="C176" i="4"/>
  <c r="I176" i="4"/>
  <c r="J176" i="4" s="1"/>
  <c r="G176" i="4" s="1"/>
  <c r="C177" i="4"/>
  <c r="I177" i="4"/>
  <c r="J177" i="4" s="1"/>
  <c r="G177" i="4" s="1"/>
  <c r="C178" i="4"/>
  <c r="I178" i="4"/>
  <c r="J178" i="4" s="1"/>
  <c r="G178" i="4" s="1"/>
  <c r="C179" i="4"/>
  <c r="I179" i="4"/>
  <c r="J179" i="4" s="1"/>
  <c r="G179" i="4" s="1"/>
  <c r="C180" i="4"/>
  <c r="I180" i="4"/>
  <c r="J180" i="4" s="1"/>
  <c r="G180" i="4" s="1"/>
  <c r="C181" i="4"/>
  <c r="I181" i="4"/>
  <c r="J181" i="4" s="1"/>
  <c r="G181" i="4" s="1"/>
  <c r="C175" i="4"/>
  <c r="I175" i="4"/>
  <c r="J175" i="4" s="1"/>
  <c r="G175" i="4" s="1"/>
  <c r="C174" i="4"/>
  <c r="I174" i="4"/>
  <c r="J174" i="4" s="1"/>
  <c r="G174" i="4" s="1"/>
  <c r="C173" i="4"/>
  <c r="I173" i="4"/>
  <c r="J173" i="4" s="1"/>
  <c r="G173" i="4" s="1"/>
  <c r="C219" i="4"/>
  <c r="I219" i="4"/>
  <c r="J219" i="4" s="1"/>
  <c r="G219" i="4" s="1"/>
  <c r="C171" i="4" l="1"/>
  <c r="I171" i="4"/>
  <c r="J171" i="4" s="1"/>
  <c r="G171" i="4" s="1"/>
  <c r="C170" i="4" l="1"/>
  <c r="I170" i="4"/>
  <c r="J170" i="4" s="1"/>
  <c r="G170" i="4" s="1"/>
  <c r="C169" i="4"/>
  <c r="I169" i="4"/>
  <c r="J169" i="4" s="1"/>
  <c r="G169" i="4" s="1"/>
  <c r="C168" i="4"/>
  <c r="I168" i="4"/>
  <c r="J168" i="4" s="1"/>
  <c r="G168" i="4" s="1"/>
  <c r="C167" i="4"/>
  <c r="I167" i="4"/>
  <c r="J167" i="4" s="1"/>
  <c r="G167" i="4" s="1"/>
  <c r="C166" i="4"/>
  <c r="I166" i="4"/>
  <c r="J166" i="4" s="1"/>
  <c r="G166" i="4" s="1"/>
  <c r="C165" i="4"/>
  <c r="I165" i="4"/>
  <c r="J165" i="4" s="1"/>
  <c r="G165" i="4" s="1"/>
  <c r="C164" i="4"/>
  <c r="I164" i="4"/>
  <c r="J164" i="4" s="1"/>
  <c r="G164" i="4" s="1"/>
  <c r="C163" i="4"/>
  <c r="I163" i="4"/>
  <c r="J163" i="4" s="1"/>
  <c r="G163" i="4" s="1"/>
  <c r="C162" i="4"/>
  <c r="I162" i="4"/>
  <c r="J162" i="4" s="1"/>
  <c r="G162" i="4" s="1"/>
  <c r="C161" i="4"/>
  <c r="I161" i="4"/>
  <c r="J161" i="4" s="1"/>
  <c r="G161" i="4" s="1"/>
  <c r="C160" i="4"/>
  <c r="I160" i="4"/>
  <c r="J160" i="4" s="1"/>
  <c r="G160" i="4" s="1"/>
  <c r="C59" i="3" l="1"/>
  <c r="I59" i="3"/>
  <c r="J59" i="3" s="1"/>
  <c r="K59" i="3" s="1"/>
  <c r="C58" i="3"/>
  <c r="I58" i="3"/>
  <c r="J58" i="3" s="1"/>
  <c r="K58" i="3" s="1"/>
  <c r="C57" i="3"/>
  <c r="I57" i="3"/>
  <c r="J57" i="3" s="1"/>
  <c r="K57" i="3" s="1"/>
  <c r="C56" i="3"/>
  <c r="I56" i="3"/>
  <c r="J56" i="3" s="1"/>
  <c r="K56" i="3" s="1"/>
  <c r="C159" i="4"/>
  <c r="I159" i="4"/>
  <c r="J159" i="4" s="1"/>
  <c r="G159" i="4" s="1"/>
  <c r="C28" i="4"/>
  <c r="I28" i="4"/>
  <c r="J28" i="4" s="1"/>
  <c r="G28" i="4" s="1"/>
  <c r="C126" i="4"/>
  <c r="I126" i="4"/>
  <c r="J126" i="4" s="1"/>
  <c r="G126" i="4" s="1"/>
  <c r="C156" i="4"/>
  <c r="I156" i="4"/>
  <c r="J156" i="4" s="1"/>
  <c r="G156" i="4" s="1"/>
  <c r="C215" i="4"/>
  <c r="I215" i="4"/>
  <c r="J215" i="4" s="1"/>
  <c r="G215" i="4" s="1"/>
  <c r="C154" i="4"/>
  <c r="I154" i="4"/>
  <c r="J154" i="4" s="1"/>
  <c r="G154" i="4" s="1"/>
  <c r="C153" i="4"/>
  <c r="I153" i="4"/>
  <c r="J153" i="4" s="1"/>
  <c r="G153" i="4" s="1"/>
  <c r="C150" i="4" l="1"/>
  <c r="I150" i="4"/>
  <c r="J150" i="4" s="1"/>
  <c r="G150" i="4" s="1"/>
  <c r="C152" i="4"/>
  <c r="I152" i="4"/>
  <c r="J152" i="4" s="1"/>
  <c r="G152" i="4" s="1"/>
  <c r="C151" i="4" l="1"/>
  <c r="I151" i="4"/>
  <c r="J151" i="4" s="1"/>
  <c r="G151" i="4" s="1"/>
  <c r="C149" i="4"/>
  <c r="I149" i="4"/>
  <c r="J149" i="4" s="1"/>
  <c r="G149" i="4" s="1"/>
  <c r="C148" i="4" l="1"/>
  <c r="I148" i="4"/>
  <c r="J148" i="4" s="1"/>
  <c r="G148" i="4" s="1"/>
  <c r="C147" i="4"/>
  <c r="I147" i="4"/>
  <c r="J147" i="4" s="1"/>
  <c r="G147" i="4" s="1"/>
  <c r="C146" i="4"/>
  <c r="I146" i="4"/>
  <c r="J146" i="4" s="1"/>
  <c r="G146" i="4" s="1"/>
  <c r="C145" i="4"/>
  <c r="I145" i="4"/>
  <c r="J145" i="4" s="1"/>
  <c r="G145" i="4" s="1"/>
  <c r="C182" i="4"/>
  <c r="I182" i="4"/>
  <c r="J182" i="4" s="1"/>
  <c r="G182" i="4" s="1"/>
  <c r="C143" i="4"/>
  <c r="I143" i="4"/>
  <c r="J143" i="4" s="1"/>
  <c r="G143" i="4" s="1"/>
  <c r="C142" i="4"/>
  <c r="I142" i="4"/>
  <c r="J142" i="4" s="1"/>
  <c r="G142" i="4" s="1"/>
  <c r="C141" i="4" l="1"/>
  <c r="I141" i="4"/>
  <c r="J141" i="4" s="1"/>
  <c r="G141" i="4" s="1"/>
  <c r="C140" i="4"/>
  <c r="I140" i="4"/>
  <c r="J140" i="4" s="1"/>
  <c r="G140" i="4" s="1"/>
  <c r="C139" i="4"/>
  <c r="I139" i="4"/>
  <c r="J139" i="4" s="1"/>
  <c r="G139" i="4" s="1"/>
  <c r="C138" i="4" l="1"/>
  <c r="I138" i="4"/>
  <c r="J138" i="4" s="1"/>
  <c r="G138" i="4" s="1"/>
  <c r="C137" i="4"/>
  <c r="I137" i="4"/>
  <c r="J137" i="4" s="1"/>
  <c r="G137" i="4" s="1"/>
  <c r="C136" i="4"/>
  <c r="I136" i="4"/>
  <c r="J136" i="4" s="1"/>
  <c r="G136" i="4" s="1"/>
  <c r="C135" i="4"/>
  <c r="I135" i="4"/>
  <c r="J135" i="4" s="1"/>
  <c r="G135" i="4" s="1"/>
  <c r="C134" i="4"/>
  <c r="I134" i="4"/>
  <c r="J134" i="4" s="1"/>
  <c r="G134" i="4" s="1"/>
  <c r="C133" i="4"/>
  <c r="I133" i="4"/>
  <c r="J133" i="4" s="1"/>
  <c r="G133" i="4" s="1"/>
  <c r="C132" i="4"/>
  <c r="I132" i="4"/>
  <c r="J132" i="4" s="1"/>
  <c r="G132" i="4" s="1"/>
  <c r="C131" i="4"/>
  <c r="I131" i="4"/>
  <c r="J131" i="4" s="1"/>
  <c r="G131" i="4" s="1"/>
  <c r="C55" i="3" l="1"/>
  <c r="I55" i="3"/>
  <c r="J55" i="3" s="1"/>
  <c r="K55" i="3" s="1"/>
  <c r="C54" i="3"/>
  <c r="I54" i="3"/>
  <c r="J54" i="3" s="1"/>
  <c r="K54" i="3" s="1"/>
  <c r="C53" i="3"/>
  <c r="I53" i="3"/>
  <c r="J53" i="3" s="1"/>
  <c r="K53" i="3" s="1"/>
  <c r="C52" i="3"/>
  <c r="I52" i="3"/>
  <c r="J52" i="3" s="1"/>
  <c r="K52" i="3" s="1"/>
  <c r="C130" i="4"/>
  <c r="I130" i="4"/>
  <c r="J130" i="4" s="1"/>
  <c r="G130" i="4" s="1"/>
  <c r="C129" i="4"/>
  <c r="I129" i="4"/>
  <c r="J129" i="4" s="1"/>
  <c r="G129" i="4" s="1"/>
  <c r="C128" i="4"/>
  <c r="I128" i="4"/>
  <c r="J128" i="4" s="1"/>
  <c r="G128" i="4" s="1"/>
  <c r="C22" i="4"/>
  <c r="I22" i="4"/>
  <c r="J22" i="4" s="1"/>
  <c r="G22" i="4" s="1"/>
  <c r="C144" i="4"/>
  <c r="I144" i="4"/>
  <c r="J144" i="4" s="1"/>
  <c r="G144" i="4" s="1"/>
  <c r="C125" i="4"/>
  <c r="I125" i="4"/>
  <c r="J125" i="4" s="1"/>
  <c r="G125" i="4" s="1"/>
  <c r="C124" i="4"/>
  <c r="I124" i="4"/>
  <c r="J124" i="4" s="1"/>
  <c r="G124" i="4" s="1"/>
  <c r="C123" i="4"/>
  <c r="I123" i="4"/>
  <c r="J123" i="4" s="1"/>
  <c r="G123" i="4" s="1"/>
  <c r="C122" i="4"/>
  <c r="I122" i="4"/>
  <c r="J122" i="4" s="1"/>
  <c r="G122" i="4" s="1"/>
  <c r="C51" i="3"/>
  <c r="I51" i="3"/>
  <c r="J51" i="3" s="1"/>
  <c r="K51" i="3" s="1"/>
  <c r="C121" i="4" l="1"/>
  <c r="I121" i="4"/>
  <c r="J121" i="4" s="1"/>
  <c r="G121" i="4" s="1"/>
  <c r="C39" i="4"/>
  <c r="I39" i="4"/>
  <c r="J39" i="4" s="1"/>
  <c r="G39" i="4" s="1"/>
  <c r="C40" i="4"/>
  <c r="I40" i="4"/>
  <c r="J40" i="4" s="1"/>
  <c r="G40" i="4" s="1"/>
  <c r="C118" i="4"/>
  <c r="I118" i="4"/>
  <c r="J118" i="4" s="1"/>
  <c r="G118" i="4" s="1"/>
  <c r="C113" i="4"/>
  <c r="I113" i="4"/>
  <c r="J113" i="4" s="1"/>
  <c r="G113" i="4" s="1"/>
  <c r="C114" i="4"/>
  <c r="C314" i="4"/>
  <c r="I114" i="4"/>
  <c r="J114" i="4" s="1"/>
  <c r="G114" i="4" s="1"/>
  <c r="I314" i="4"/>
  <c r="J314" i="4" s="1"/>
  <c r="G314" i="4" s="1"/>
  <c r="C116" i="4"/>
  <c r="I116" i="4"/>
  <c r="J116" i="4" s="1"/>
  <c r="G116" i="4" s="1"/>
  <c r="C117" i="4"/>
  <c r="I117" i="4"/>
  <c r="J117" i="4" s="1"/>
  <c r="G117" i="4" s="1"/>
  <c r="C112" i="4"/>
  <c r="I112" i="4"/>
  <c r="J112" i="4" s="1"/>
  <c r="G112" i="4" s="1"/>
  <c r="C111" i="4"/>
  <c r="I111" i="4"/>
  <c r="J111" i="4" s="1"/>
  <c r="G111" i="4" s="1"/>
  <c r="C110" i="4"/>
  <c r="I110" i="4"/>
  <c r="J110" i="4" s="1"/>
  <c r="G110" i="4" s="1"/>
  <c r="C109" i="4"/>
  <c r="I109" i="4"/>
  <c r="J109" i="4" s="1"/>
  <c r="G109" i="4" s="1"/>
  <c r="C108" i="4"/>
  <c r="I108" i="4"/>
  <c r="J108" i="4" s="1"/>
  <c r="G108" i="4" s="1"/>
  <c r="C107" i="4"/>
  <c r="I107" i="4"/>
  <c r="J107" i="4" s="1"/>
  <c r="G107" i="4" s="1"/>
  <c r="C106" i="4"/>
  <c r="I106" i="4"/>
  <c r="J106" i="4" s="1"/>
  <c r="G106" i="4" s="1"/>
  <c r="C105" i="4"/>
  <c r="I105" i="4"/>
  <c r="J105" i="4" s="1"/>
  <c r="G105" i="4" s="1"/>
  <c r="C104" i="4"/>
  <c r="I104" i="4"/>
  <c r="J104" i="4" s="1"/>
  <c r="G104" i="4" s="1"/>
  <c r="C103" i="4"/>
  <c r="I103" i="4"/>
  <c r="J103" i="4" s="1"/>
  <c r="G103" i="4" s="1"/>
  <c r="C102" i="4"/>
  <c r="I102" i="4"/>
  <c r="J102" i="4" s="1"/>
  <c r="G102" i="4" s="1"/>
  <c r="C101" i="4" l="1"/>
  <c r="I101" i="4"/>
  <c r="J101" i="4" s="1"/>
  <c r="G101" i="4" s="1"/>
  <c r="C100" i="4" l="1"/>
  <c r="I100" i="4"/>
  <c r="J100" i="4" s="1"/>
  <c r="G100" i="4" s="1"/>
  <c r="C99" i="4"/>
  <c r="I99" i="4"/>
  <c r="J99" i="4" s="1"/>
  <c r="G99" i="4" s="1"/>
  <c r="C98" i="4"/>
  <c r="I98" i="4"/>
  <c r="J98" i="4" s="1"/>
  <c r="G98" i="4" s="1"/>
  <c r="C97" i="4"/>
  <c r="I97" i="4"/>
  <c r="J97" i="4" s="1"/>
  <c r="G97" i="4" s="1"/>
  <c r="C96" i="4"/>
  <c r="I96" i="4"/>
  <c r="J96" i="4" s="1"/>
  <c r="G96" i="4" s="1"/>
  <c r="C95" i="4"/>
  <c r="I95" i="4"/>
  <c r="J95" i="4" s="1"/>
  <c r="G95" i="4" s="1"/>
  <c r="C94" i="4"/>
  <c r="I94" i="4"/>
  <c r="J94" i="4" s="1"/>
  <c r="G94" i="4" s="1"/>
  <c r="C93" i="4"/>
  <c r="I93" i="4"/>
  <c r="J93" i="4" s="1"/>
  <c r="G93" i="4" s="1"/>
  <c r="C77" i="4"/>
  <c r="I77" i="4"/>
  <c r="J77" i="4" s="1"/>
  <c r="G77" i="4" s="1"/>
  <c r="C91" i="4" l="1"/>
  <c r="I91" i="4"/>
  <c r="J91" i="4" s="1"/>
  <c r="G91" i="4" s="1"/>
  <c r="C90" i="4"/>
  <c r="I90" i="4"/>
  <c r="J90" i="4" s="1"/>
  <c r="G90" i="4" s="1"/>
  <c r="C89" i="4"/>
  <c r="I89" i="4"/>
  <c r="J89" i="4" s="1"/>
  <c r="G89" i="4" s="1"/>
  <c r="C88" i="4"/>
  <c r="I88" i="4"/>
  <c r="J88" i="4" s="1"/>
  <c r="G88" i="4" s="1"/>
  <c r="C87" i="4"/>
  <c r="I87" i="4"/>
  <c r="J87" i="4" s="1"/>
  <c r="G87" i="4" s="1"/>
  <c r="C86" i="4"/>
  <c r="I86" i="4"/>
  <c r="J86" i="4" s="1"/>
  <c r="G86" i="4" s="1"/>
  <c r="C85" i="4"/>
  <c r="I85" i="4"/>
  <c r="J85" i="4" s="1"/>
  <c r="G85" i="4" s="1"/>
  <c r="C84" i="4"/>
  <c r="I84" i="4"/>
  <c r="J84" i="4" s="1"/>
  <c r="G84" i="4" s="1"/>
  <c r="C83" i="4"/>
  <c r="I83" i="4"/>
  <c r="J83" i="4" s="1"/>
  <c r="G83" i="4" s="1"/>
  <c r="C82" i="4"/>
  <c r="I82" i="4"/>
  <c r="J82" i="4" s="1"/>
  <c r="G82" i="4" s="1"/>
  <c r="C81" i="4"/>
  <c r="I81" i="4"/>
  <c r="J81" i="4" s="1"/>
  <c r="G81" i="4" s="1"/>
  <c r="C80" i="4"/>
  <c r="I80" i="4"/>
  <c r="J80" i="4" s="1"/>
  <c r="G80" i="4" s="1"/>
  <c r="C79" i="4"/>
  <c r="I79" i="4"/>
  <c r="J79" i="4" s="1"/>
  <c r="G79" i="4" s="1"/>
  <c r="C50" i="3" l="1"/>
  <c r="I50" i="3"/>
  <c r="J50" i="3" s="1"/>
  <c r="K50" i="3" s="1"/>
  <c r="C49" i="3"/>
  <c r="I49" i="3"/>
  <c r="J49" i="3" s="1"/>
  <c r="K49" i="3" s="1"/>
  <c r="C48" i="3"/>
  <c r="I48" i="3"/>
  <c r="J48" i="3" s="1"/>
  <c r="K48" i="3" s="1"/>
  <c r="C47" i="3"/>
  <c r="I47" i="3"/>
  <c r="J47" i="3" s="1"/>
  <c r="K47" i="3" s="1"/>
  <c r="C46" i="3"/>
  <c r="I46" i="3"/>
  <c r="J46" i="3" s="1"/>
  <c r="K46" i="3" s="1"/>
  <c r="C76" i="4"/>
  <c r="I76" i="4"/>
  <c r="J76" i="4" s="1"/>
  <c r="G76" i="4" s="1"/>
  <c r="C45" i="3" l="1"/>
  <c r="I45" i="3"/>
  <c r="J45" i="3" s="1"/>
  <c r="K45" i="3" s="1"/>
  <c r="C44" i="3"/>
  <c r="I44" i="3"/>
  <c r="J44" i="3" s="1"/>
  <c r="K44" i="3" s="1"/>
  <c r="C43" i="3"/>
  <c r="I43" i="3"/>
  <c r="J43" i="3" s="1"/>
  <c r="K43" i="3" s="1"/>
  <c r="C42" i="3"/>
  <c r="I42" i="3"/>
  <c r="J42" i="3" s="1"/>
  <c r="K42" i="3" s="1"/>
  <c r="C41" i="3"/>
  <c r="I41" i="3"/>
  <c r="J41" i="3" s="1"/>
  <c r="K41" i="3" s="1"/>
  <c r="C40" i="3"/>
  <c r="I40" i="3"/>
  <c r="J40" i="3" s="1"/>
  <c r="K40" i="3" s="1"/>
  <c r="C39" i="3"/>
  <c r="I39" i="3"/>
  <c r="J39" i="3" s="1"/>
  <c r="K39" i="3" s="1"/>
  <c r="C155" i="4"/>
  <c r="I155" i="4"/>
  <c r="J155" i="4" s="1"/>
  <c r="G155" i="4" s="1"/>
  <c r="C303" i="4"/>
  <c r="I303" i="4"/>
  <c r="J303" i="4" s="1"/>
  <c r="G303" i="4" s="1"/>
  <c r="C269" i="4"/>
  <c r="I269" i="4"/>
  <c r="J269" i="4" s="1"/>
  <c r="G269" i="4" s="1"/>
  <c r="C74" i="4"/>
  <c r="I74" i="4"/>
  <c r="J74" i="4" s="1"/>
  <c r="G74" i="4" s="1"/>
  <c r="C73" i="4"/>
  <c r="I73" i="4"/>
  <c r="J73" i="4" s="1"/>
  <c r="G73" i="4" s="1"/>
  <c r="C72" i="4"/>
  <c r="I72" i="4"/>
  <c r="J72" i="4" s="1"/>
  <c r="G72" i="4" s="1"/>
  <c r="C71" i="4"/>
  <c r="I71" i="4"/>
  <c r="J71" i="4" s="1"/>
  <c r="G71" i="4" s="1"/>
  <c r="C70" i="4"/>
  <c r="I70" i="4"/>
  <c r="J70" i="4" s="1"/>
  <c r="G70" i="4" s="1"/>
  <c r="C69" i="4"/>
  <c r="I69" i="4"/>
  <c r="J69" i="4" s="1"/>
  <c r="G69" i="4" s="1"/>
  <c r="C68" i="4"/>
  <c r="I68" i="4"/>
  <c r="J68" i="4" s="1"/>
  <c r="G68" i="4" s="1"/>
  <c r="C67" i="4"/>
  <c r="I67" i="4"/>
  <c r="J67" i="4" s="1"/>
  <c r="G67" i="4" s="1"/>
  <c r="C66" i="4"/>
  <c r="I66" i="4"/>
  <c r="J66" i="4" s="1"/>
  <c r="G66" i="4" s="1"/>
  <c r="C65" i="4" l="1"/>
  <c r="I65" i="4"/>
  <c r="J65" i="4" s="1"/>
  <c r="G65" i="4" s="1"/>
  <c r="C38" i="3" l="1"/>
  <c r="I38" i="3"/>
  <c r="J38" i="3" s="1"/>
  <c r="K38" i="3" s="1"/>
  <c r="C37" i="3"/>
  <c r="I37" i="3"/>
  <c r="J37" i="3" s="1"/>
  <c r="K37" i="3" s="1"/>
  <c r="C36" i="3"/>
  <c r="I36" i="3"/>
  <c r="J36" i="3" s="1"/>
  <c r="K36" i="3" s="1"/>
  <c r="C35" i="3"/>
  <c r="I35" i="3"/>
  <c r="J35" i="3" s="1"/>
  <c r="K35" i="3" s="1"/>
  <c r="C64" i="4" l="1"/>
  <c r="I64" i="4"/>
  <c r="J64" i="4" s="1"/>
  <c r="G64" i="4" s="1"/>
  <c r="C63" i="4"/>
  <c r="I63" i="4"/>
  <c r="J63" i="4" s="1"/>
  <c r="G63" i="4" s="1"/>
  <c r="C62" i="4"/>
  <c r="I62" i="4"/>
  <c r="J62" i="4" s="1"/>
  <c r="G62" i="4" s="1"/>
  <c r="C61" i="4" l="1"/>
  <c r="I61" i="4"/>
  <c r="J61" i="4" s="1"/>
  <c r="G61" i="4" s="1"/>
  <c r="C60" i="4"/>
  <c r="I60" i="4"/>
  <c r="J60" i="4" s="1"/>
  <c r="G60" i="4" s="1"/>
  <c r="C246" i="4"/>
  <c r="I246" i="4"/>
  <c r="J246" i="4" s="1"/>
  <c r="G246" i="4" s="1"/>
  <c r="C58" i="4"/>
  <c r="I58" i="4"/>
  <c r="J58" i="4" s="1"/>
  <c r="G58" i="4" s="1"/>
  <c r="C57" i="4"/>
  <c r="I57" i="4"/>
  <c r="J57" i="4" s="1"/>
  <c r="G57" i="4" s="1"/>
  <c r="C56" i="4"/>
  <c r="I56" i="4"/>
  <c r="J56" i="4" s="1"/>
  <c r="G56" i="4" s="1"/>
  <c r="C34" i="3" l="1"/>
  <c r="I34" i="3"/>
  <c r="J34" i="3" s="1"/>
  <c r="K34" i="3" s="1"/>
  <c r="C33" i="3"/>
  <c r="I33" i="3"/>
  <c r="J33" i="3" s="1"/>
  <c r="K33" i="3" s="1"/>
  <c r="C32" i="3"/>
  <c r="I32" i="3"/>
  <c r="J32" i="3" s="1"/>
  <c r="K32" i="3" s="1"/>
  <c r="C31" i="3"/>
  <c r="I31" i="3"/>
  <c r="J31" i="3" s="1"/>
  <c r="K31" i="3" s="1"/>
  <c r="C55" i="4"/>
  <c r="I55" i="4"/>
  <c r="J55" i="4" s="1"/>
  <c r="G55" i="4" s="1"/>
  <c r="C54" i="4"/>
  <c r="I54" i="4"/>
  <c r="J54" i="4" s="1"/>
  <c r="G54" i="4" s="1"/>
  <c r="C53" i="4"/>
  <c r="I53" i="4"/>
  <c r="J53" i="4" s="1"/>
  <c r="G53" i="4" s="1"/>
  <c r="C52" i="4"/>
  <c r="I52" i="4"/>
  <c r="J52" i="4" s="1"/>
  <c r="G52" i="4" s="1"/>
  <c r="C51" i="4"/>
  <c r="I51" i="4"/>
  <c r="J51" i="4" s="1"/>
  <c r="G51" i="4" s="1"/>
  <c r="C287" i="4"/>
  <c r="I287" i="4"/>
  <c r="J287" i="4" s="1"/>
  <c r="G287" i="4" s="1"/>
  <c r="C288" i="4"/>
  <c r="I288" i="4"/>
  <c r="J288" i="4" s="1"/>
  <c r="G288" i="4" s="1"/>
  <c r="C48" i="4" l="1"/>
  <c r="I48" i="4"/>
  <c r="J48" i="4" s="1"/>
  <c r="G48" i="4" s="1"/>
  <c r="C47" i="4"/>
  <c r="I47" i="4"/>
  <c r="J47" i="4" s="1"/>
  <c r="G47" i="4" s="1"/>
  <c r="C46" i="4"/>
  <c r="I46" i="4"/>
  <c r="J46" i="4" s="1"/>
  <c r="G46" i="4" s="1"/>
  <c r="C45" i="4"/>
  <c r="I45" i="4"/>
  <c r="J45" i="4" s="1"/>
  <c r="G45" i="4" s="1"/>
  <c r="C44" i="4"/>
  <c r="I44" i="4"/>
  <c r="J44" i="4" s="1"/>
  <c r="G44" i="4" s="1"/>
  <c r="C43" i="4" l="1"/>
  <c r="I43" i="4"/>
  <c r="J43" i="4" s="1"/>
  <c r="G43" i="4" s="1"/>
  <c r="C42" i="4"/>
  <c r="I42" i="4"/>
  <c r="J42" i="4" s="1"/>
  <c r="G42" i="4" s="1"/>
  <c r="C41" i="4"/>
  <c r="I41" i="4"/>
  <c r="J41" i="4" s="1"/>
  <c r="G41" i="4" s="1"/>
  <c r="C30" i="3" l="1"/>
  <c r="I30" i="3"/>
  <c r="J30" i="3" s="1"/>
  <c r="K30" i="3" s="1"/>
  <c r="C29" i="3"/>
  <c r="I29" i="3"/>
  <c r="J29" i="3" s="1"/>
  <c r="K29" i="3" s="1"/>
  <c r="C28" i="3"/>
  <c r="I28" i="3"/>
  <c r="J28" i="3" s="1"/>
  <c r="K28" i="3" s="1"/>
  <c r="C27" i="3"/>
  <c r="I27" i="3"/>
  <c r="J27" i="3" s="1"/>
  <c r="K27" i="3" s="1"/>
  <c r="C242" i="4"/>
  <c r="I242" i="4"/>
  <c r="J242" i="4" s="1"/>
  <c r="G242" i="4" s="1"/>
  <c r="C210" i="4" l="1"/>
  <c r="I210" i="4"/>
  <c r="J210" i="4" s="1"/>
  <c r="G210" i="4" s="1"/>
  <c r="C38" i="4"/>
  <c r="I38" i="4"/>
  <c r="J38" i="4" s="1"/>
  <c r="G38" i="4" s="1"/>
  <c r="C37" i="4"/>
  <c r="I37" i="4"/>
  <c r="J37" i="4" s="1"/>
  <c r="G37" i="4" s="1"/>
  <c r="C36" i="4"/>
  <c r="I36" i="4"/>
  <c r="J36" i="4" s="1"/>
  <c r="G36" i="4" s="1"/>
  <c r="C35" i="4"/>
  <c r="I35" i="4"/>
  <c r="J35" i="4" s="1"/>
  <c r="G35" i="4" s="1"/>
  <c r="C26" i="3" l="1"/>
  <c r="I26" i="3"/>
  <c r="J26" i="3" s="1"/>
  <c r="K26" i="3" s="1"/>
  <c r="C25" i="3"/>
  <c r="I25" i="3"/>
  <c r="J25" i="3" s="1"/>
  <c r="K25" i="3" s="1"/>
  <c r="C24" i="3"/>
  <c r="I24" i="3"/>
  <c r="J24" i="3" s="1"/>
  <c r="K24" i="3" s="1"/>
  <c r="C23" i="3"/>
  <c r="I23" i="3"/>
  <c r="J23" i="3" s="1"/>
  <c r="K23" i="3" s="1"/>
  <c r="C22" i="3"/>
  <c r="I22" i="3"/>
  <c r="J22" i="3" s="1"/>
  <c r="K22" i="3" s="1"/>
  <c r="C21" i="3"/>
  <c r="I21" i="3"/>
  <c r="J21" i="3" s="1"/>
  <c r="K21" i="3" s="1"/>
  <c r="C34" i="4"/>
  <c r="I34" i="4"/>
  <c r="J34" i="4" s="1"/>
  <c r="G34" i="4" s="1"/>
  <c r="C33" i="4"/>
  <c r="I33" i="4"/>
  <c r="J33" i="4" s="1"/>
  <c r="G33" i="4" s="1"/>
  <c r="C32" i="4"/>
  <c r="I32" i="4"/>
  <c r="J32" i="4" s="1"/>
  <c r="G32" i="4" s="1"/>
  <c r="C31" i="4"/>
  <c r="I31" i="4"/>
  <c r="J31" i="4" s="1"/>
  <c r="G31" i="4" s="1"/>
  <c r="C212" i="4"/>
  <c r="I212" i="4"/>
  <c r="J212" i="4" s="1"/>
  <c r="G212" i="4" s="1"/>
  <c r="C213" i="4"/>
  <c r="I213" i="4"/>
  <c r="J213" i="4" s="1"/>
  <c r="G213" i="4" s="1"/>
  <c r="C78" i="4"/>
  <c r="I78" i="4"/>
  <c r="J78" i="4" s="1"/>
  <c r="G78" i="4" s="1"/>
  <c r="C27" i="4"/>
  <c r="I27" i="4"/>
  <c r="J27" i="4" s="1"/>
  <c r="G27" i="4" s="1"/>
  <c r="C26" i="4"/>
  <c r="I26" i="4"/>
  <c r="J26" i="4" s="1"/>
  <c r="G26" i="4" s="1"/>
  <c r="C25" i="4"/>
  <c r="I25" i="4"/>
  <c r="J25" i="4" s="1"/>
  <c r="G25" i="4" s="1"/>
  <c r="C24" i="4"/>
  <c r="I24" i="4"/>
  <c r="J24" i="4" s="1"/>
  <c r="G24" i="4" s="1"/>
  <c r="C23" i="4" l="1"/>
  <c r="I23" i="4"/>
  <c r="J23" i="4" s="1"/>
  <c r="G23" i="4" s="1"/>
  <c r="C266" i="4" l="1"/>
  <c r="I266" i="4"/>
  <c r="J266" i="4" s="1"/>
  <c r="G266" i="4" s="1"/>
  <c r="C20" i="3"/>
  <c r="I20" i="3"/>
  <c r="J20" i="3" s="1"/>
  <c r="K20" i="3" s="1"/>
  <c r="C19" i="3"/>
  <c r="I19" i="3"/>
  <c r="J19" i="3" s="1"/>
  <c r="K19" i="3" s="1"/>
  <c r="C18" i="3"/>
  <c r="I18" i="3"/>
  <c r="J18" i="3" s="1"/>
  <c r="K18" i="3" s="1"/>
  <c r="C17" i="3"/>
  <c r="I17" i="3"/>
  <c r="J17" i="3" s="1"/>
  <c r="K17" i="3" s="1"/>
  <c r="C16" i="3"/>
  <c r="I16" i="3"/>
  <c r="J16" i="3" s="1"/>
  <c r="K16" i="3" s="1"/>
  <c r="C15" i="3"/>
  <c r="I15" i="3"/>
  <c r="J15" i="3" s="1"/>
  <c r="K15" i="3" s="1"/>
  <c r="C14" i="3"/>
  <c r="I14" i="3"/>
  <c r="J14" i="3" s="1"/>
  <c r="K14" i="3" s="1"/>
  <c r="C13" i="3"/>
  <c r="I13" i="3"/>
  <c r="J13" i="3" s="1"/>
  <c r="K13" i="3" s="1"/>
  <c r="C12" i="3"/>
  <c r="I12" i="3"/>
  <c r="J12" i="3" s="1"/>
  <c r="K12" i="3" s="1"/>
  <c r="C11" i="3"/>
  <c r="I11" i="3"/>
  <c r="J11" i="3" s="1"/>
  <c r="K11" i="3" s="1"/>
  <c r="C10" i="3"/>
  <c r="I10" i="3"/>
  <c r="J10" i="3" s="1"/>
  <c r="K10" i="3" s="1"/>
  <c r="C9" i="3"/>
  <c r="I9" i="3"/>
  <c r="J9" i="3" s="1"/>
  <c r="K9" i="3" s="1"/>
  <c r="C21" i="4"/>
  <c r="I21" i="4"/>
  <c r="J21" i="4" s="1"/>
  <c r="G21" i="4" s="1"/>
  <c r="C20" i="4"/>
  <c r="I20" i="4"/>
  <c r="J20" i="4" s="1"/>
  <c r="G20" i="4" s="1"/>
  <c r="C19" i="4"/>
  <c r="I19" i="4"/>
  <c r="J19" i="4" s="1"/>
  <c r="G19" i="4" s="1"/>
  <c r="C221" i="4"/>
  <c r="I221" i="4"/>
  <c r="J221" i="4" s="1"/>
  <c r="G221" i="4" s="1"/>
  <c r="C214" i="4"/>
  <c r="I214" i="4"/>
  <c r="J214" i="4" s="1"/>
  <c r="G214" i="4" s="1"/>
  <c r="C305" i="4"/>
  <c r="I305" i="4"/>
  <c r="J305" i="4" s="1"/>
  <c r="G305" i="4" s="1"/>
  <c r="C115" i="4"/>
  <c r="I115" i="4"/>
  <c r="J115" i="4" s="1"/>
  <c r="G115" i="4" s="1"/>
  <c r="C14" i="4"/>
  <c r="I14" i="4"/>
  <c r="J14" i="4" s="1"/>
  <c r="G14" i="4" s="1"/>
  <c r="C13" i="4"/>
  <c r="I13" i="4"/>
  <c r="J13" i="4" s="1"/>
  <c r="G13" i="4" s="1"/>
  <c r="C12" i="4"/>
  <c r="I12" i="4"/>
  <c r="J12" i="4" s="1"/>
  <c r="G12" i="4" s="1"/>
  <c r="C11" i="4"/>
  <c r="I11" i="4"/>
  <c r="J11" i="4" s="1"/>
  <c r="G11" i="4" s="1"/>
  <c r="C10" i="4"/>
  <c r="I10" i="4"/>
  <c r="J10" i="4" s="1"/>
  <c r="G10" i="4" s="1"/>
  <c r="C9" i="4"/>
  <c r="I9" i="4"/>
  <c r="J9" i="4" s="1"/>
  <c r="G9" i="4" s="1"/>
  <c r="G55" i="5" l="1" a="1"/>
  <c r="G55" i="5" s="1"/>
  <c r="G47" i="5" a="1"/>
  <c r="G47" i="5" s="1"/>
  <c r="G48" i="5" a="1"/>
  <c r="G48" i="5" s="1"/>
  <c r="G49" i="5" a="1"/>
  <c r="G49" i="5" s="1"/>
  <c r="G50" i="5" a="1"/>
  <c r="G50" i="5" s="1"/>
  <c r="G51" i="5" a="1"/>
  <c r="G51" i="5" s="1"/>
  <c r="G52" i="5" a="1"/>
  <c r="G52" i="5" s="1"/>
  <c r="G53" i="5" a="1"/>
  <c r="G53" i="5" s="1"/>
  <c r="G54" i="5" a="1"/>
  <c r="G54" i="5" s="1"/>
  <c r="G46" i="5" a="1"/>
  <c r="G46" i="5" s="1"/>
  <c r="B79" i="8" a="1"/>
  <c r="B79" i="8" s="1"/>
  <c r="B80" i="8" a="1"/>
  <c r="B80" i="8" s="1"/>
  <c r="B81" i="8" a="1"/>
  <c r="B81" i="8" s="1"/>
  <c r="B82" i="8" a="1"/>
  <c r="B82" i="8" s="1"/>
  <c r="B83" i="8" a="1"/>
  <c r="B83" i="8" s="1"/>
  <c r="B84" i="8" a="1"/>
  <c r="B84" i="8" s="1"/>
  <c r="B85" i="8" a="1"/>
  <c r="B85" i="8" s="1"/>
  <c r="B86" i="8" a="1"/>
  <c r="B86" i="8" s="1"/>
  <c r="B87" i="8" a="1"/>
  <c r="B87" i="8" s="1"/>
  <c r="B88" i="8" a="1"/>
  <c r="B88" i="8" s="1"/>
  <c r="E6" i="3" l="1"/>
  <c r="B33" i="1" l="1"/>
  <c r="I12" i="1" s="1"/>
  <c r="B8" i="5"/>
  <c r="B2" i="9"/>
  <c r="H55" i="5" l="1"/>
  <c r="I55" i="5"/>
  <c r="J54" i="5"/>
  <c r="I51" i="5"/>
  <c r="J48" i="5"/>
  <c r="J47" i="5"/>
  <c r="J49" i="5"/>
  <c r="J46" i="5"/>
  <c r="J51" i="5"/>
  <c r="I50" i="5"/>
  <c r="J55" i="5"/>
  <c r="I52" i="5"/>
  <c r="H54" i="5"/>
  <c r="H51" i="5"/>
  <c r="J50" i="5"/>
  <c r="H47" i="5"/>
  <c r="I53" i="5"/>
  <c r="H46" i="5"/>
  <c r="J52" i="5"/>
  <c r="J53" i="5"/>
  <c r="H53" i="5"/>
  <c r="H52" i="5"/>
  <c r="I54" i="5"/>
  <c r="I48" i="5"/>
  <c r="H50" i="5"/>
  <c r="I47" i="5"/>
  <c r="I49" i="5"/>
  <c r="H49" i="5"/>
  <c r="H48" i="5"/>
  <c r="I46" i="5"/>
  <c r="I23" i="1"/>
  <c r="N104" i="8" s="1"/>
  <c r="K23" i="1"/>
  <c r="N105" i="8" s="1"/>
  <c r="K22" i="1"/>
  <c r="M105" i="8" s="1"/>
  <c r="K21" i="1"/>
  <c r="L105" i="8" s="1"/>
  <c r="K20" i="1"/>
  <c r="K105" i="8" s="1"/>
  <c r="K19" i="1"/>
  <c r="J105" i="8" s="1"/>
  <c r="K18" i="1"/>
  <c r="I105" i="8" s="1"/>
  <c r="K17" i="1"/>
  <c r="H105" i="8" s="1"/>
  <c r="K16" i="1"/>
  <c r="G105" i="8" s="1"/>
  <c r="K15" i="1"/>
  <c r="F105" i="8" s="1"/>
  <c r="K14" i="1"/>
  <c r="E105" i="8" s="1"/>
  <c r="K13" i="1"/>
  <c r="D105" i="8" s="1"/>
  <c r="K12" i="1"/>
  <c r="C105" i="8" s="1"/>
  <c r="J8" i="1"/>
  <c r="B54" i="8" a="1"/>
  <c r="B54" i="8" s="1"/>
  <c r="B22" i="8" a="1"/>
  <c r="B22" i="8" s="1"/>
  <c r="B7" i="8"/>
  <c r="K6" i="8"/>
  <c r="N2" i="8"/>
  <c r="L2" i="8"/>
  <c r="G21" i="5" a="1"/>
  <c r="B21" i="5" a="1"/>
  <c r="B7" i="5"/>
  <c r="J2" i="5"/>
  <c r="H2" i="5"/>
  <c r="E6" i="4"/>
  <c r="K2" i="4"/>
  <c r="I2" i="4"/>
  <c r="K2" i="3"/>
  <c r="I2" i="3"/>
  <c r="I5" i="2"/>
  <c r="C5" i="2"/>
  <c r="G21" i="5" l="1"/>
  <c r="B21" i="5"/>
  <c r="D7" i="4"/>
  <c r="I20" i="1"/>
  <c r="K6" i="9" s="1"/>
  <c r="I13" i="1"/>
  <c r="D6" i="9" s="1"/>
  <c r="D6" i="4"/>
  <c r="B6" i="8"/>
  <c r="E52" i="8" s="1"/>
  <c r="D6" i="3"/>
  <c r="N21" i="8"/>
  <c r="I16" i="1"/>
  <c r="I21" i="1"/>
  <c r="L53" i="8" s="1"/>
  <c r="I17" i="1"/>
  <c r="H6" i="9" s="1"/>
  <c r="C21" i="8"/>
  <c r="K8" i="1"/>
  <c r="E103" i="8"/>
  <c r="C104" i="8"/>
  <c r="C6" i="9"/>
  <c r="C53" i="8"/>
  <c r="N6" i="9"/>
  <c r="N53" i="8"/>
  <c r="D7" i="3"/>
  <c r="I14" i="1"/>
  <c r="I18" i="1"/>
  <c r="I22" i="1"/>
  <c r="I15" i="1"/>
  <c r="I19" i="1"/>
  <c r="F6" i="4" l="1"/>
  <c r="E21" i="5"/>
  <c r="D21" i="5"/>
  <c r="C21" i="5"/>
  <c r="H21" i="5"/>
  <c r="I21" i="5"/>
  <c r="J21" i="5"/>
  <c r="G103" i="8"/>
  <c r="B3" i="9"/>
  <c r="J5" i="9" s="1"/>
  <c r="F20" i="8"/>
  <c r="D20" i="8"/>
  <c r="J20" i="8"/>
  <c r="K52" i="8"/>
  <c r="M103" i="8"/>
  <c r="C20" i="8"/>
  <c r="M52" i="8"/>
  <c r="H104" i="8"/>
  <c r="L20" i="8"/>
  <c r="H52" i="8"/>
  <c r="N20" i="8"/>
  <c r="F52" i="8"/>
  <c r="H103" i="8"/>
  <c r="D52" i="8"/>
  <c r="N52" i="8"/>
  <c r="I20" i="8"/>
  <c r="J52" i="8"/>
  <c r="L52" i="8"/>
  <c r="J103" i="8"/>
  <c r="K20" i="8"/>
  <c r="D103" i="8"/>
  <c r="F103" i="8"/>
  <c r="E20" i="8"/>
  <c r="K103" i="8"/>
  <c r="L103" i="8"/>
  <c r="N103" i="8"/>
  <c r="G52" i="8"/>
  <c r="H20" i="8"/>
  <c r="C103" i="8"/>
  <c r="C52" i="8"/>
  <c r="K104" i="8"/>
  <c r="D21" i="8"/>
  <c r="H53" i="8"/>
  <c r="D53" i="8"/>
  <c r="L104" i="8"/>
  <c r="H21" i="8"/>
  <c r="H6" i="4"/>
  <c r="D104" i="8"/>
  <c r="G53" i="8"/>
  <c r="G6" i="9"/>
  <c r="G104" i="8"/>
  <c r="G21" i="8"/>
  <c r="I103" i="8"/>
  <c r="I52" i="8"/>
  <c r="M20" i="8"/>
  <c r="G20" i="8"/>
  <c r="K53" i="8"/>
  <c r="K21" i="8"/>
  <c r="H6" i="3"/>
  <c r="L6" i="9"/>
  <c r="L21" i="8"/>
  <c r="F6" i="3"/>
  <c r="J104" i="8"/>
  <c r="J6" i="9"/>
  <c r="J53" i="8"/>
  <c r="J21" i="8"/>
  <c r="F6" i="9"/>
  <c r="F53" i="8"/>
  <c r="F21" i="8"/>
  <c r="F104" i="8"/>
  <c r="M6" i="9"/>
  <c r="M21" i="8"/>
  <c r="M104" i="8"/>
  <c r="M53" i="8"/>
  <c r="I53" i="8"/>
  <c r="I104" i="8"/>
  <c r="I6" i="9"/>
  <c r="I21" i="8"/>
  <c r="E6" i="9"/>
  <c r="E21" i="8"/>
  <c r="E104" i="8"/>
  <c r="E53" i="8"/>
  <c r="E84" i="8" s="1"/>
  <c r="H10" i="5"/>
  <c r="G10" i="5" a="1"/>
  <c r="E88" i="8" l="1"/>
  <c r="E83" i="8"/>
  <c r="I86" i="8"/>
  <c r="I85" i="8"/>
  <c r="I81" i="8"/>
  <c r="I79" i="8"/>
  <c r="I88" i="8"/>
  <c r="I80" i="8"/>
  <c r="I87" i="8"/>
  <c r="I83" i="8"/>
  <c r="I82" i="8"/>
  <c r="I84" i="8"/>
  <c r="F81" i="8"/>
  <c r="F87" i="8"/>
  <c r="F83" i="8"/>
  <c r="F80" i="8"/>
  <c r="F88" i="8"/>
  <c r="F84" i="8"/>
  <c r="F79" i="8"/>
  <c r="F86" i="8"/>
  <c r="F85" i="8"/>
  <c r="F82" i="8"/>
  <c r="K87" i="8"/>
  <c r="K83" i="8"/>
  <c r="K86" i="8"/>
  <c r="K82" i="8"/>
  <c r="K88" i="8"/>
  <c r="K80" i="8"/>
  <c r="K81" i="8"/>
  <c r="K85" i="8"/>
  <c r="K84" i="8"/>
  <c r="K79" i="8"/>
  <c r="E79" i="8"/>
  <c r="E87" i="8"/>
  <c r="G85" i="8"/>
  <c r="G81" i="8"/>
  <c r="G84" i="8"/>
  <c r="G86" i="8"/>
  <c r="G82" i="8"/>
  <c r="G88" i="8"/>
  <c r="G87" i="8"/>
  <c r="G79" i="8"/>
  <c r="G83" i="8"/>
  <c r="G80" i="8"/>
  <c r="N90" i="8"/>
  <c r="N80" i="8"/>
  <c r="N87" i="8"/>
  <c r="N83" i="8"/>
  <c r="N85" i="8"/>
  <c r="N79" i="8"/>
  <c r="N86" i="8"/>
  <c r="N82" i="8"/>
  <c r="N88" i="8"/>
  <c r="N84" i="8"/>
  <c r="N81" i="8"/>
  <c r="M87" i="8"/>
  <c r="M83" i="8"/>
  <c r="M85" i="8"/>
  <c r="M81" i="8"/>
  <c r="M79" i="8"/>
  <c r="M88" i="8"/>
  <c r="M80" i="8"/>
  <c r="M86" i="8"/>
  <c r="M82" i="8"/>
  <c r="M84" i="8"/>
  <c r="E82" i="8"/>
  <c r="E81" i="8"/>
  <c r="E86" i="8"/>
  <c r="J87" i="8"/>
  <c r="J83" i="8"/>
  <c r="J85" i="8"/>
  <c r="J88" i="8"/>
  <c r="J86" i="8"/>
  <c r="J82" i="8"/>
  <c r="J81" i="8"/>
  <c r="J79" i="8"/>
  <c r="J80" i="8"/>
  <c r="J84" i="8"/>
  <c r="C90" i="8"/>
  <c r="C86" i="8"/>
  <c r="C82" i="8"/>
  <c r="C88" i="8"/>
  <c r="C84" i="8"/>
  <c r="C80" i="8"/>
  <c r="C79" i="8"/>
  <c r="C83" i="8"/>
  <c r="C87" i="8"/>
  <c r="C85" i="8"/>
  <c r="C81" i="8"/>
  <c r="L82" i="8"/>
  <c r="L79" i="8"/>
  <c r="L84" i="8"/>
  <c r="L81" i="8"/>
  <c r="L88" i="8"/>
  <c r="L87" i="8"/>
  <c r="L83" i="8"/>
  <c r="L85" i="8"/>
  <c r="L86" i="8"/>
  <c r="L80" i="8"/>
  <c r="D79" i="8"/>
  <c r="D86" i="8"/>
  <c r="D84" i="8"/>
  <c r="D87" i="8"/>
  <c r="D83" i="8"/>
  <c r="D85" i="8"/>
  <c r="D81" i="8"/>
  <c r="D88" i="8"/>
  <c r="D80" i="8"/>
  <c r="D82" i="8"/>
  <c r="H79" i="8"/>
  <c r="H88" i="8"/>
  <c r="H80" i="8"/>
  <c r="H87" i="8"/>
  <c r="H83" i="8"/>
  <c r="H85" i="8"/>
  <c r="H82" i="8"/>
  <c r="H81" i="8"/>
  <c r="H84" i="8"/>
  <c r="H86" i="8"/>
  <c r="E80" i="8"/>
  <c r="E85" i="8"/>
  <c r="N5" i="9"/>
  <c r="N8" i="9" s="1"/>
  <c r="J6" i="4"/>
  <c r="H90" i="8"/>
  <c r="E5" i="9"/>
  <c r="E7" i="9" s="1"/>
  <c r="L5" i="9"/>
  <c r="L8" i="9" s="1"/>
  <c r="C5" i="9"/>
  <c r="C8" i="9" s="1"/>
  <c r="M5" i="9"/>
  <c r="M8" i="9" s="1"/>
  <c r="N54" i="8"/>
  <c r="H5" i="9"/>
  <c r="H7" i="9" s="1"/>
  <c r="F5" i="9"/>
  <c r="F7" i="9" s="1"/>
  <c r="G5" i="9"/>
  <c r="G8" i="9" s="1"/>
  <c r="D5" i="9"/>
  <c r="D7" i="9" s="1"/>
  <c r="I5" i="9"/>
  <c r="I7" i="9" s="1"/>
  <c r="K5" i="9"/>
  <c r="K7" i="9" s="1"/>
  <c r="J7" i="9"/>
  <c r="G10" i="5"/>
  <c r="C48" i="8"/>
  <c r="C54" i="8"/>
  <c r="K48" i="8"/>
  <c r="C22" i="8"/>
  <c r="D54" i="8"/>
  <c r="N48" i="8"/>
  <c r="K22" i="8"/>
  <c r="N22" i="8"/>
  <c r="H54" i="8"/>
  <c r="D48" i="8"/>
  <c r="D22" i="8"/>
  <c r="L90" i="8"/>
  <c r="L54" i="8"/>
  <c r="D90" i="8"/>
  <c r="J90" i="8"/>
  <c r="G90" i="8"/>
  <c r="G54" i="8"/>
  <c r="H48" i="8"/>
  <c r="J6" i="3"/>
  <c r="H22" i="8"/>
  <c r="K90" i="8"/>
  <c r="K54" i="8"/>
  <c r="E54" i="8"/>
  <c r="E90" i="8"/>
  <c r="L48" i="8"/>
  <c r="L22" i="8"/>
  <c r="J54" i="8"/>
  <c r="F90" i="8"/>
  <c r="G48" i="8"/>
  <c r="G22" i="8"/>
  <c r="I48" i="8"/>
  <c r="M48" i="8"/>
  <c r="M22" i="8"/>
  <c r="I90" i="8"/>
  <c r="I54" i="8"/>
  <c r="F54" i="8"/>
  <c r="J22" i="8"/>
  <c r="E48" i="8"/>
  <c r="F22" i="8"/>
  <c r="F48" i="8"/>
  <c r="E22" i="8"/>
  <c r="M90" i="8"/>
  <c r="J48" i="8"/>
  <c r="J8" i="9"/>
  <c r="I22" i="8"/>
  <c r="M54" i="8"/>
  <c r="E8" i="9" l="1"/>
  <c r="E9" i="9" s="1"/>
  <c r="L7" i="9"/>
  <c r="L9" i="9" s="1"/>
  <c r="H8" i="9"/>
  <c r="H9" i="9" s="1"/>
  <c r="N7" i="9"/>
  <c r="N9" i="9" s="1"/>
  <c r="D8" i="9"/>
  <c r="D9" i="9" s="1"/>
  <c r="F8" i="9"/>
  <c r="F9" i="9" s="1"/>
  <c r="C7" i="9"/>
  <c r="C9" i="9" s="1"/>
  <c r="C11" i="9" s="1"/>
  <c r="K8" i="9"/>
  <c r="K9" i="9" s="1"/>
  <c r="G7" i="9"/>
  <c r="G9" i="9" s="1"/>
  <c r="M7" i="9"/>
  <c r="M9" i="9" s="1"/>
  <c r="J9" i="9"/>
  <c r="I8" i="9"/>
  <c r="I9" i="9" s="1"/>
  <c r="G6" i="8"/>
  <c r="I6" i="8"/>
  <c r="D11" i="9" l="1"/>
  <c r="E11" i="9" s="1"/>
  <c r="F11" i="9" s="1"/>
  <c r="G11" i="9" s="1"/>
  <c r="H11" i="9" s="1"/>
  <c r="I11" i="9" s="1"/>
  <c r="J11" i="9" s="1"/>
  <c r="K11" i="9" s="1"/>
  <c r="L11" i="9" s="1"/>
  <c r="M11" i="9" s="1"/>
  <c r="N11" i="9" s="1"/>
  <c r="B78" i="8" l="1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C26" i="5" l="1"/>
  <c r="D26" i="5"/>
  <c r="E26" i="5"/>
  <c r="C30" i="5"/>
  <c r="E30" i="5"/>
  <c r="D30" i="5"/>
  <c r="C38" i="5"/>
  <c r="E38" i="5"/>
  <c r="D38" i="5"/>
  <c r="J22" i="5"/>
  <c r="H22" i="5"/>
  <c r="I22" i="5"/>
  <c r="J30" i="5"/>
  <c r="H30" i="5"/>
  <c r="I30" i="5"/>
  <c r="J38" i="5"/>
  <c r="H38" i="5"/>
  <c r="I38" i="5"/>
  <c r="N23" i="8"/>
  <c r="C23" i="8"/>
  <c r="K23" i="8"/>
  <c r="D23" i="8"/>
  <c r="L23" i="8"/>
  <c r="H23" i="8"/>
  <c r="I23" i="8"/>
  <c r="M23" i="8"/>
  <c r="G23" i="8"/>
  <c r="E23" i="8"/>
  <c r="J23" i="8"/>
  <c r="F23" i="8"/>
  <c r="D27" i="8"/>
  <c r="K27" i="8"/>
  <c r="C27" i="8"/>
  <c r="N27" i="8"/>
  <c r="H27" i="8"/>
  <c r="G27" i="8"/>
  <c r="I27" i="8"/>
  <c r="J27" i="8"/>
  <c r="L27" i="8"/>
  <c r="E27" i="8"/>
  <c r="M27" i="8"/>
  <c r="F27" i="8"/>
  <c r="N31" i="8"/>
  <c r="C31" i="8"/>
  <c r="K31" i="8"/>
  <c r="H31" i="8"/>
  <c r="D31" i="8"/>
  <c r="M31" i="8"/>
  <c r="G31" i="8"/>
  <c r="J31" i="8"/>
  <c r="L31" i="8"/>
  <c r="I31" i="8"/>
  <c r="E31" i="8"/>
  <c r="F31" i="8"/>
  <c r="C35" i="8"/>
  <c r="N35" i="8"/>
  <c r="K35" i="8"/>
  <c r="D35" i="8"/>
  <c r="G35" i="8"/>
  <c r="H35" i="8"/>
  <c r="L35" i="8"/>
  <c r="J35" i="8"/>
  <c r="F35" i="8"/>
  <c r="M35" i="8"/>
  <c r="I35" i="8"/>
  <c r="E35" i="8"/>
  <c r="N39" i="8"/>
  <c r="D39" i="8"/>
  <c r="C39" i="8"/>
  <c r="K39" i="8"/>
  <c r="L39" i="8"/>
  <c r="E39" i="8"/>
  <c r="H39" i="8"/>
  <c r="I39" i="8"/>
  <c r="G39" i="8"/>
  <c r="F39" i="8"/>
  <c r="J39" i="8"/>
  <c r="M39" i="8"/>
  <c r="C43" i="8"/>
  <c r="H43" i="8"/>
  <c r="K43" i="8"/>
  <c r="N43" i="8"/>
  <c r="D43" i="8"/>
  <c r="L43" i="8"/>
  <c r="M43" i="8"/>
  <c r="G43" i="8"/>
  <c r="J43" i="8"/>
  <c r="E43" i="8"/>
  <c r="I43" i="8"/>
  <c r="F43" i="8"/>
  <c r="N55" i="8"/>
  <c r="C55" i="8"/>
  <c r="L55" i="8"/>
  <c r="G55" i="8"/>
  <c r="D55" i="8"/>
  <c r="H55" i="8"/>
  <c r="K55" i="8"/>
  <c r="I55" i="8"/>
  <c r="E55" i="8"/>
  <c r="F55" i="8"/>
  <c r="J55" i="8"/>
  <c r="M55" i="8"/>
  <c r="N59" i="8"/>
  <c r="C59" i="8"/>
  <c r="H59" i="8"/>
  <c r="D59" i="8"/>
  <c r="L59" i="8"/>
  <c r="M59" i="8"/>
  <c r="I59" i="8"/>
  <c r="K59" i="8"/>
  <c r="G59" i="8"/>
  <c r="E59" i="8"/>
  <c r="J59" i="8"/>
  <c r="F59" i="8"/>
  <c r="N63" i="8"/>
  <c r="G63" i="8"/>
  <c r="D63" i="8"/>
  <c r="C63" i="8"/>
  <c r="H63" i="8"/>
  <c r="F63" i="8"/>
  <c r="K63" i="8"/>
  <c r="I63" i="8"/>
  <c r="L63" i="8"/>
  <c r="M63" i="8"/>
  <c r="E63" i="8"/>
  <c r="J63" i="8"/>
  <c r="N67" i="8"/>
  <c r="C67" i="8"/>
  <c r="D67" i="8"/>
  <c r="G67" i="8"/>
  <c r="H67" i="8"/>
  <c r="E67" i="8"/>
  <c r="F67" i="8"/>
  <c r="K67" i="8"/>
  <c r="I67" i="8"/>
  <c r="L67" i="8"/>
  <c r="M67" i="8"/>
  <c r="J67" i="8"/>
  <c r="N71" i="8"/>
  <c r="M71" i="8"/>
  <c r="D71" i="8"/>
  <c r="H71" i="8"/>
  <c r="K71" i="8"/>
  <c r="C71" i="8"/>
  <c r="G71" i="8"/>
  <c r="F71" i="8"/>
  <c r="L71" i="8"/>
  <c r="I71" i="8"/>
  <c r="E71" i="8"/>
  <c r="J71" i="8"/>
  <c r="N75" i="8"/>
  <c r="C75" i="8"/>
  <c r="E75" i="8"/>
  <c r="D75" i="8"/>
  <c r="H75" i="8"/>
  <c r="G75" i="8"/>
  <c r="J75" i="8"/>
  <c r="K75" i="8"/>
  <c r="M75" i="8"/>
  <c r="L75" i="8"/>
  <c r="I75" i="8"/>
  <c r="F75" i="8"/>
  <c r="C23" i="5"/>
  <c r="E23" i="5"/>
  <c r="D23" i="5"/>
  <c r="D27" i="5"/>
  <c r="C27" i="5"/>
  <c r="E27" i="5"/>
  <c r="D31" i="5"/>
  <c r="E31" i="5"/>
  <c r="C31" i="5"/>
  <c r="E35" i="5"/>
  <c r="C35" i="5"/>
  <c r="D35" i="5"/>
  <c r="C39" i="5"/>
  <c r="D39" i="5"/>
  <c r="E39" i="5"/>
  <c r="D43" i="5"/>
  <c r="C43" i="5"/>
  <c r="E43" i="5"/>
  <c r="H23" i="5"/>
  <c r="I23" i="5"/>
  <c r="J23" i="5"/>
  <c r="H27" i="5"/>
  <c r="I27" i="5"/>
  <c r="J27" i="5"/>
  <c r="H31" i="5"/>
  <c r="J31" i="5"/>
  <c r="I31" i="5"/>
  <c r="J35" i="5"/>
  <c r="I35" i="5"/>
  <c r="H35" i="5"/>
  <c r="J39" i="5"/>
  <c r="H39" i="5"/>
  <c r="I39" i="5"/>
  <c r="I43" i="5"/>
  <c r="J43" i="5"/>
  <c r="H43" i="5"/>
  <c r="D24" i="8"/>
  <c r="C24" i="8"/>
  <c r="K24" i="8"/>
  <c r="N24" i="8"/>
  <c r="L24" i="8"/>
  <c r="G24" i="8"/>
  <c r="M24" i="8"/>
  <c r="H24" i="8"/>
  <c r="J24" i="8"/>
  <c r="I24" i="8"/>
  <c r="E24" i="8"/>
  <c r="F24" i="8"/>
  <c r="C28" i="8"/>
  <c r="K28" i="8"/>
  <c r="D28" i="8"/>
  <c r="L28" i="8"/>
  <c r="N28" i="8"/>
  <c r="H28" i="8"/>
  <c r="I28" i="8"/>
  <c r="M28" i="8"/>
  <c r="G28" i="8"/>
  <c r="F28" i="8"/>
  <c r="E28" i="8"/>
  <c r="J28" i="8"/>
  <c r="D32" i="8"/>
  <c r="H32" i="8"/>
  <c r="L32" i="8"/>
  <c r="K32" i="8"/>
  <c r="C32" i="8"/>
  <c r="N32" i="8"/>
  <c r="I32" i="8"/>
  <c r="G32" i="8"/>
  <c r="M32" i="8"/>
  <c r="J32" i="8"/>
  <c r="F32" i="8"/>
  <c r="E32" i="8"/>
  <c r="H36" i="8"/>
  <c r="C36" i="8"/>
  <c r="K36" i="8"/>
  <c r="N36" i="8"/>
  <c r="D36" i="8"/>
  <c r="G36" i="8"/>
  <c r="L36" i="8"/>
  <c r="M36" i="8"/>
  <c r="I36" i="8"/>
  <c r="J36" i="8"/>
  <c r="E36" i="8"/>
  <c r="F36" i="8"/>
  <c r="F40" i="8"/>
  <c r="C40" i="8"/>
  <c r="K40" i="8"/>
  <c r="D40" i="8"/>
  <c r="I40" i="8"/>
  <c r="N40" i="8"/>
  <c r="J40" i="8"/>
  <c r="G40" i="8"/>
  <c r="H40" i="8"/>
  <c r="L40" i="8"/>
  <c r="M40" i="8"/>
  <c r="E40" i="8"/>
  <c r="D44" i="8"/>
  <c r="H44" i="8"/>
  <c r="C44" i="8"/>
  <c r="K44" i="8"/>
  <c r="I44" i="8"/>
  <c r="M44" i="8"/>
  <c r="F44" i="8"/>
  <c r="N44" i="8"/>
  <c r="G44" i="8"/>
  <c r="J44" i="8"/>
  <c r="L44" i="8"/>
  <c r="E44" i="8"/>
  <c r="N56" i="8"/>
  <c r="L56" i="8"/>
  <c r="C56" i="8"/>
  <c r="K56" i="8"/>
  <c r="D56" i="8"/>
  <c r="E56" i="8"/>
  <c r="G56" i="8"/>
  <c r="M56" i="8"/>
  <c r="I56" i="8"/>
  <c r="H56" i="8"/>
  <c r="F56" i="8"/>
  <c r="J56" i="8"/>
  <c r="N60" i="8"/>
  <c r="D60" i="8"/>
  <c r="G60" i="8"/>
  <c r="K60" i="8"/>
  <c r="C60" i="8"/>
  <c r="L60" i="8"/>
  <c r="H60" i="8"/>
  <c r="E60" i="8"/>
  <c r="M60" i="8"/>
  <c r="I60" i="8"/>
  <c r="F60" i="8"/>
  <c r="J60" i="8"/>
  <c r="N64" i="8"/>
  <c r="L64" i="8"/>
  <c r="C64" i="8"/>
  <c r="H64" i="8"/>
  <c r="K64" i="8"/>
  <c r="G64" i="8"/>
  <c r="I64" i="8"/>
  <c r="D64" i="8"/>
  <c r="M64" i="8"/>
  <c r="E64" i="8"/>
  <c r="J64" i="8"/>
  <c r="F64" i="8"/>
  <c r="N68" i="8"/>
  <c r="C68" i="8"/>
  <c r="D68" i="8"/>
  <c r="G68" i="8"/>
  <c r="K68" i="8"/>
  <c r="M68" i="8"/>
  <c r="F68" i="8"/>
  <c r="J68" i="8"/>
  <c r="E68" i="8"/>
  <c r="I68" i="8"/>
  <c r="L68" i="8"/>
  <c r="H68" i="8"/>
  <c r="N72" i="8"/>
  <c r="C72" i="8"/>
  <c r="H72" i="8"/>
  <c r="D72" i="8"/>
  <c r="L72" i="8"/>
  <c r="K72" i="8"/>
  <c r="E72" i="8"/>
  <c r="I72" i="8"/>
  <c r="G72" i="8"/>
  <c r="F72" i="8"/>
  <c r="J72" i="8"/>
  <c r="M72" i="8"/>
  <c r="N76" i="8"/>
  <c r="C76" i="8"/>
  <c r="E76" i="8"/>
  <c r="K76" i="8"/>
  <c r="L76" i="8"/>
  <c r="H76" i="8"/>
  <c r="F76" i="8"/>
  <c r="J76" i="8"/>
  <c r="I76" i="8"/>
  <c r="D76" i="8"/>
  <c r="G76" i="8"/>
  <c r="M76" i="8"/>
  <c r="C22" i="5"/>
  <c r="D22" i="5"/>
  <c r="E22" i="5"/>
  <c r="C34" i="5"/>
  <c r="E34" i="5"/>
  <c r="D34" i="5"/>
  <c r="D42" i="5"/>
  <c r="C42" i="5"/>
  <c r="E42" i="5"/>
  <c r="I26" i="5"/>
  <c r="H26" i="5"/>
  <c r="J26" i="5"/>
  <c r="I34" i="5"/>
  <c r="J34" i="5"/>
  <c r="H34" i="5"/>
  <c r="H42" i="5"/>
  <c r="J42" i="5"/>
  <c r="I42" i="5"/>
  <c r="E24" i="5"/>
  <c r="C24" i="5"/>
  <c r="D24" i="5"/>
  <c r="C28" i="5"/>
  <c r="E28" i="5"/>
  <c r="D28" i="5"/>
  <c r="D32" i="5"/>
  <c r="E32" i="5"/>
  <c r="C32" i="5"/>
  <c r="C36" i="5"/>
  <c r="E36" i="5"/>
  <c r="D36" i="5"/>
  <c r="C40" i="5"/>
  <c r="D40" i="5"/>
  <c r="E40" i="5"/>
  <c r="C44" i="5"/>
  <c r="D44" i="5"/>
  <c r="E44" i="5"/>
  <c r="J24" i="5"/>
  <c r="I24" i="5"/>
  <c r="H24" i="5"/>
  <c r="J28" i="5"/>
  <c r="H28" i="5"/>
  <c r="I28" i="5"/>
  <c r="H32" i="5"/>
  <c r="I32" i="5"/>
  <c r="J32" i="5"/>
  <c r="I36" i="5"/>
  <c r="J36" i="5"/>
  <c r="H36" i="5"/>
  <c r="I40" i="5"/>
  <c r="H40" i="5"/>
  <c r="J40" i="5"/>
  <c r="H44" i="5"/>
  <c r="I44" i="5"/>
  <c r="J44" i="5"/>
  <c r="C25" i="8"/>
  <c r="H25" i="8"/>
  <c r="N25" i="8"/>
  <c r="K25" i="8"/>
  <c r="G25" i="8"/>
  <c r="J25" i="8"/>
  <c r="L25" i="8"/>
  <c r="D25" i="8"/>
  <c r="F25" i="8"/>
  <c r="M25" i="8"/>
  <c r="E25" i="8"/>
  <c r="I25" i="8"/>
  <c r="D29" i="8"/>
  <c r="C29" i="8"/>
  <c r="K29" i="8"/>
  <c r="J29" i="8"/>
  <c r="N29" i="8"/>
  <c r="H29" i="8"/>
  <c r="L29" i="8"/>
  <c r="F29" i="8"/>
  <c r="M29" i="8"/>
  <c r="I29" i="8"/>
  <c r="G29" i="8"/>
  <c r="E29" i="8"/>
  <c r="D33" i="8"/>
  <c r="H33" i="8"/>
  <c r="C33" i="8"/>
  <c r="N33" i="8"/>
  <c r="K33" i="8"/>
  <c r="G33" i="8"/>
  <c r="L33" i="8"/>
  <c r="J33" i="8"/>
  <c r="F33" i="8"/>
  <c r="E33" i="8"/>
  <c r="M33" i="8"/>
  <c r="I33" i="8"/>
  <c r="H37" i="8"/>
  <c r="L37" i="8"/>
  <c r="N37" i="8"/>
  <c r="C37" i="8"/>
  <c r="K37" i="8"/>
  <c r="I37" i="8"/>
  <c r="M37" i="8"/>
  <c r="D37" i="8"/>
  <c r="G37" i="8"/>
  <c r="E37" i="8"/>
  <c r="F37" i="8"/>
  <c r="J37" i="8"/>
  <c r="N41" i="8"/>
  <c r="L41" i="8"/>
  <c r="C41" i="8"/>
  <c r="K41" i="8"/>
  <c r="D41" i="8"/>
  <c r="G41" i="8"/>
  <c r="M41" i="8"/>
  <c r="J41" i="8"/>
  <c r="E41" i="8"/>
  <c r="H41" i="8"/>
  <c r="I41" i="8"/>
  <c r="F41" i="8"/>
  <c r="E45" i="8"/>
  <c r="C45" i="8"/>
  <c r="N45" i="8"/>
  <c r="K45" i="8"/>
  <c r="D45" i="8"/>
  <c r="H45" i="8"/>
  <c r="F45" i="8"/>
  <c r="G45" i="8"/>
  <c r="L45" i="8"/>
  <c r="J45" i="8"/>
  <c r="M45" i="8"/>
  <c r="I45" i="8"/>
  <c r="N57" i="8"/>
  <c r="L57" i="8"/>
  <c r="K57" i="8"/>
  <c r="D57" i="8"/>
  <c r="G57" i="8"/>
  <c r="H57" i="8"/>
  <c r="F57" i="8"/>
  <c r="M57" i="8"/>
  <c r="E57" i="8"/>
  <c r="I57" i="8"/>
  <c r="C57" i="8"/>
  <c r="J57" i="8"/>
  <c r="N61" i="8"/>
  <c r="C61" i="8"/>
  <c r="D61" i="8"/>
  <c r="H61" i="8"/>
  <c r="K61" i="8"/>
  <c r="E61" i="8"/>
  <c r="G61" i="8"/>
  <c r="I61" i="8"/>
  <c r="L61" i="8"/>
  <c r="M61" i="8"/>
  <c r="J61" i="8"/>
  <c r="F61" i="8"/>
  <c r="N65" i="8"/>
  <c r="H65" i="8"/>
  <c r="L65" i="8"/>
  <c r="C65" i="8"/>
  <c r="K65" i="8"/>
  <c r="E65" i="8"/>
  <c r="I65" i="8"/>
  <c r="F65" i="8"/>
  <c r="J65" i="8"/>
  <c r="D65" i="8"/>
  <c r="G65" i="8"/>
  <c r="M65" i="8"/>
  <c r="N69" i="8"/>
  <c r="D69" i="8"/>
  <c r="L69" i="8"/>
  <c r="K69" i="8"/>
  <c r="E69" i="8"/>
  <c r="G69" i="8"/>
  <c r="F69" i="8"/>
  <c r="C69" i="8"/>
  <c r="H69" i="8"/>
  <c r="J69" i="8"/>
  <c r="I69" i="8"/>
  <c r="M69" i="8"/>
  <c r="H73" i="8"/>
  <c r="N73" i="8"/>
  <c r="D73" i="8"/>
  <c r="L73" i="8"/>
  <c r="C73" i="8"/>
  <c r="G73" i="8"/>
  <c r="M73" i="8"/>
  <c r="I73" i="8"/>
  <c r="F73" i="8"/>
  <c r="K73" i="8"/>
  <c r="E73" i="8"/>
  <c r="J73" i="8"/>
  <c r="N77" i="8"/>
  <c r="C77" i="8"/>
  <c r="L77" i="8"/>
  <c r="H77" i="8"/>
  <c r="G77" i="8"/>
  <c r="K77" i="8"/>
  <c r="E77" i="8"/>
  <c r="M77" i="8"/>
  <c r="I77" i="8"/>
  <c r="D77" i="8"/>
  <c r="J77" i="8"/>
  <c r="F77" i="8"/>
  <c r="C25" i="5"/>
  <c r="E25" i="5"/>
  <c r="D25" i="5"/>
  <c r="D29" i="5"/>
  <c r="C29" i="5"/>
  <c r="E29" i="5"/>
  <c r="D33" i="5"/>
  <c r="C33" i="5"/>
  <c r="E33" i="5"/>
  <c r="E37" i="5"/>
  <c r="C37" i="5"/>
  <c r="D37" i="5"/>
  <c r="C41" i="5"/>
  <c r="E41" i="5"/>
  <c r="D41" i="5"/>
  <c r="D45" i="5"/>
  <c r="C45" i="5"/>
  <c r="E45" i="5"/>
  <c r="H25" i="5"/>
  <c r="J25" i="5"/>
  <c r="I25" i="5"/>
  <c r="J29" i="5"/>
  <c r="H29" i="5"/>
  <c r="I29" i="5"/>
  <c r="H33" i="5"/>
  <c r="J33" i="5"/>
  <c r="I33" i="5"/>
  <c r="I37" i="5"/>
  <c r="J37" i="5"/>
  <c r="H37" i="5"/>
  <c r="H41" i="5"/>
  <c r="J41" i="5"/>
  <c r="I41" i="5"/>
  <c r="H45" i="5"/>
  <c r="J45" i="5"/>
  <c r="I45" i="5"/>
  <c r="D26" i="8"/>
  <c r="C26" i="8"/>
  <c r="F26" i="8"/>
  <c r="N26" i="8"/>
  <c r="H26" i="8"/>
  <c r="E26" i="8"/>
  <c r="K26" i="8"/>
  <c r="L26" i="8"/>
  <c r="I26" i="8"/>
  <c r="G26" i="8"/>
  <c r="M26" i="8"/>
  <c r="J26" i="8"/>
  <c r="D30" i="8"/>
  <c r="N30" i="8"/>
  <c r="H30" i="8"/>
  <c r="C30" i="8"/>
  <c r="K30" i="8"/>
  <c r="L30" i="8"/>
  <c r="E30" i="8"/>
  <c r="I30" i="8"/>
  <c r="M30" i="8"/>
  <c r="G30" i="8"/>
  <c r="F30" i="8"/>
  <c r="J30" i="8"/>
  <c r="N34" i="8"/>
  <c r="H34" i="8"/>
  <c r="C34" i="8"/>
  <c r="K34" i="8"/>
  <c r="L34" i="8"/>
  <c r="I34" i="8"/>
  <c r="M34" i="8"/>
  <c r="D34" i="8"/>
  <c r="F34" i="8"/>
  <c r="E34" i="8"/>
  <c r="J34" i="8"/>
  <c r="G34" i="8"/>
  <c r="L38" i="8"/>
  <c r="H38" i="8"/>
  <c r="K38" i="8"/>
  <c r="N38" i="8"/>
  <c r="J38" i="8"/>
  <c r="C38" i="8"/>
  <c r="D38" i="8"/>
  <c r="I38" i="8"/>
  <c r="M38" i="8"/>
  <c r="G38" i="8"/>
  <c r="E38" i="8"/>
  <c r="F38" i="8"/>
  <c r="C42" i="8"/>
  <c r="K42" i="8"/>
  <c r="H42" i="8"/>
  <c r="N42" i="8"/>
  <c r="D42" i="8"/>
  <c r="E42" i="8"/>
  <c r="L42" i="8"/>
  <c r="G42" i="8"/>
  <c r="M42" i="8"/>
  <c r="J42" i="8"/>
  <c r="F42" i="8"/>
  <c r="I42" i="8"/>
  <c r="D46" i="8"/>
  <c r="N46" i="8"/>
  <c r="K46" i="8"/>
  <c r="C46" i="8"/>
  <c r="H46" i="8"/>
  <c r="G46" i="8"/>
  <c r="F46" i="8"/>
  <c r="L46" i="8"/>
  <c r="M46" i="8"/>
  <c r="J46" i="8"/>
  <c r="I46" i="8"/>
  <c r="E46" i="8"/>
  <c r="N58" i="8"/>
  <c r="L58" i="8"/>
  <c r="C58" i="8"/>
  <c r="H58" i="8"/>
  <c r="G58" i="8"/>
  <c r="E58" i="8"/>
  <c r="D58" i="8"/>
  <c r="J58" i="8"/>
  <c r="K58" i="8"/>
  <c r="F58" i="8"/>
  <c r="M58" i="8"/>
  <c r="I58" i="8"/>
  <c r="N62" i="8"/>
  <c r="D62" i="8"/>
  <c r="C62" i="8"/>
  <c r="H62" i="8"/>
  <c r="M62" i="8"/>
  <c r="L62" i="8"/>
  <c r="K62" i="8"/>
  <c r="G62" i="8"/>
  <c r="E62" i="8"/>
  <c r="I62" i="8"/>
  <c r="F62" i="8"/>
  <c r="J62" i="8"/>
  <c r="H66" i="8"/>
  <c r="N66" i="8"/>
  <c r="C66" i="8"/>
  <c r="E66" i="8"/>
  <c r="L66" i="8"/>
  <c r="J66" i="8"/>
  <c r="K66" i="8"/>
  <c r="I66" i="8"/>
  <c r="M66" i="8"/>
  <c r="D66" i="8"/>
  <c r="G66" i="8"/>
  <c r="F66" i="8"/>
  <c r="N70" i="8"/>
  <c r="L70" i="8"/>
  <c r="E70" i="8"/>
  <c r="C70" i="8"/>
  <c r="H70" i="8"/>
  <c r="D70" i="8"/>
  <c r="I70" i="8"/>
  <c r="K70" i="8"/>
  <c r="J70" i="8"/>
  <c r="G70" i="8"/>
  <c r="M70" i="8"/>
  <c r="F70" i="8"/>
  <c r="N74" i="8"/>
  <c r="C74" i="8"/>
  <c r="D74" i="8"/>
  <c r="L74" i="8"/>
  <c r="J74" i="8"/>
  <c r="H74" i="8"/>
  <c r="K74" i="8"/>
  <c r="I74" i="8"/>
  <c r="G74" i="8"/>
  <c r="E74" i="8"/>
  <c r="F74" i="8"/>
  <c r="M74" i="8"/>
  <c r="N78" i="8"/>
  <c r="H78" i="8"/>
  <c r="F78" i="8"/>
  <c r="E78" i="8"/>
  <c r="D78" i="8"/>
  <c r="K78" i="8"/>
  <c r="G78" i="8"/>
  <c r="L78" i="8"/>
  <c r="C78" i="8"/>
  <c r="I78" i="8"/>
  <c r="M78" i="8"/>
  <c r="J78" i="8"/>
  <c r="C89" i="8" l="1"/>
  <c r="F89" i="8"/>
  <c r="H89" i="8"/>
  <c r="E47" i="8"/>
  <c r="E106" i="8" s="1"/>
  <c r="H47" i="8"/>
  <c r="H106" i="8" s="1"/>
  <c r="C47" i="8"/>
  <c r="C6" i="5"/>
  <c r="E89" i="8"/>
  <c r="D89" i="8"/>
  <c r="N89" i="8"/>
  <c r="G47" i="8"/>
  <c r="G106" i="8" s="1"/>
  <c r="L47" i="8"/>
  <c r="L106" i="8" s="1"/>
  <c r="N47" i="8"/>
  <c r="N106" i="8" s="1"/>
  <c r="M89" i="8"/>
  <c r="I89" i="8"/>
  <c r="G89" i="8"/>
  <c r="F47" i="8"/>
  <c r="F106" i="8" s="1"/>
  <c r="M47" i="8"/>
  <c r="M106" i="8" s="1"/>
  <c r="D47" i="8"/>
  <c r="D106" i="8" s="1"/>
  <c r="E6" i="5"/>
  <c r="G6" i="5"/>
  <c r="J89" i="8"/>
  <c r="K89" i="8"/>
  <c r="L89" i="8"/>
  <c r="J47" i="8"/>
  <c r="J106" i="8" s="1"/>
  <c r="I47" i="8"/>
  <c r="I106" i="8" s="1"/>
  <c r="K47" i="8"/>
  <c r="K106" i="8" s="1"/>
  <c r="I6" i="5" l="1"/>
  <c r="I10" i="5" s="1"/>
  <c r="E6" i="8"/>
  <c r="C106" i="8"/>
  <c r="C6" i="8"/>
  <c r="M6" i="8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<sst xmlns="http://schemas.openxmlformats.org/spreadsheetml/2006/main" count="2067" uniqueCount="550">
  <si>
    <t>Nombre de la Empresa</t>
  </si>
  <si>
    <t>Nombre de tu empresa</t>
  </si>
  <si>
    <t>Mes de Inicio</t>
  </si>
  <si>
    <t>Año</t>
  </si>
  <si>
    <t>Moneda</t>
  </si>
  <si>
    <t>Porcentaje de Impuestos</t>
  </si>
  <si>
    <t>Ingresa tus Categorías</t>
  </si>
  <si>
    <t>Ingresos</t>
  </si>
  <si>
    <t>Alquiler</t>
  </si>
  <si>
    <t>Publicidad</t>
  </si>
  <si>
    <t>Egresos o Gastos</t>
  </si>
  <si>
    <t>Métodos de Pago</t>
  </si>
  <si>
    <t>Efectivo</t>
  </si>
  <si>
    <t>Transferencia</t>
  </si>
  <si>
    <t>Depósito</t>
  </si>
  <si>
    <t>Mes</t>
  </si>
  <si>
    <t>Totales</t>
  </si>
  <si>
    <t>Total</t>
  </si>
  <si>
    <t>CONFIGURACIÓN GENERAL</t>
  </si>
  <si>
    <t>Sueldos</t>
  </si>
  <si>
    <t>Campos editables:</t>
  </si>
  <si>
    <t>Campos que NO debes tocar:</t>
  </si>
  <si>
    <t>Fecha</t>
  </si>
  <si>
    <t>Categoría</t>
  </si>
  <si>
    <t>Descripción</t>
  </si>
  <si>
    <t>Método de Pago</t>
  </si>
  <si>
    <t>Impuesto</t>
  </si>
  <si>
    <t>Total Impuesto</t>
  </si>
  <si>
    <t>% de Impuesto</t>
  </si>
  <si>
    <t>PANEL DE INGRESOS</t>
  </si>
  <si>
    <t>Campos que NO debes tocar</t>
  </si>
  <si>
    <t>Campos que SI puedes editar</t>
  </si>
  <si>
    <t>MONEDA</t>
  </si>
  <si>
    <t>Ingreso</t>
  </si>
  <si>
    <t>Ingreso Neto</t>
  </si>
  <si>
    <t>Monto</t>
  </si>
  <si>
    <t>Mét. Pago</t>
  </si>
  <si>
    <t>REGISTRAR INGRESO</t>
  </si>
  <si>
    <t>REGISTRAR EGRESO</t>
  </si>
  <si>
    <t>Facturado</t>
  </si>
  <si>
    <t>PANEL DE EGRESOS O GASTOS</t>
  </si>
  <si>
    <t>Porcentaje de Crédito Fiscal</t>
  </si>
  <si>
    <t>Exención, exoneración, exclusión, liberación, etc.</t>
  </si>
  <si>
    <t>Crédito Fiscal</t>
  </si>
  <si>
    <t>% de Crédito Fiscal</t>
  </si>
  <si>
    <t>Total Crédito Fiscal</t>
  </si>
  <si>
    <t>Egreso Total</t>
  </si>
  <si>
    <t>Egreso sin C.F.</t>
  </si>
  <si>
    <t>Con Factura</t>
  </si>
  <si>
    <t>Impuestos</t>
  </si>
  <si>
    <t>SELECCIONA EL MES</t>
  </si>
  <si>
    <t>RESUMEN MENSUAL</t>
  </si>
  <si>
    <t>Total Neto</t>
  </si>
  <si>
    <t>Ganancia Anual Esperada</t>
  </si>
  <si>
    <t>Meta de Ganancia Anual</t>
  </si>
  <si>
    <t>Meta de Ganancias Mensuales</t>
  </si>
  <si>
    <t>GANANCIA ACTUAL</t>
  </si>
  <si>
    <t>¡Único campo editable!</t>
  </si>
  <si>
    <t>Meta mensual</t>
  </si>
  <si>
    <t>RESUMEN DE INGRESOS MENSUAL</t>
  </si>
  <si>
    <t>RESUMEN DE EGRESOS MENSUAL</t>
  </si>
  <si>
    <t>Categorías</t>
  </si>
  <si>
    <t>TOTALES</t>
  </si>
  <si>
    <t>RESUMEN ANUAL DE INGRESOS</t>
  </si>
  <si>
    <t>RESUMEN ANUAL DE EGRESOS</t>
  </si>
  <si>
    <t>INICIO DE AÑO</t>
  </si>
  <si>
    <t>EGRESO ANUAL</t>
  </si>
  <si>
    <t>INGRESO NETO ANUAL</t>
  </si>
  <si>
    <t>IMPUESTOS PAGADOS</t>
  </si>
  <si>
    <t>CRÉDITO FISCAL RECOLECTADO</t>
  </si>
  <si>
    <t>META ANUAL</t>
  </si>
  <si>
    <t>GANANCIA GENERADA</t>
  </si>
  <si>
    <t>INGRESO BRUTO ANUAL</t>
  </si>
  <si>
    <t>EGRESO SIN C.F. ANUAL</t>
  </si>
  <si>
    <t>EGRESO NETO ANUAL</t>
  </si>
  <si>
    <t>INGRESO TOTAL</t>
  </si>
  <si>
    <t>EGRESO TOTAL</t>
  </si>
  <si>
    <t>INGRESO DESPUÉS DE IMPUESTOS</t>
  </si>
  <si>
    <t>MES DE INICIO</t>
  </si>
  <si>
    <t>IMPUESTOS PAGADOS ANUAL</t>
  </si>
  <si>
    <t>RESUMEN ANUAL</t>
  </si>
  <si>
    <t>TOTAL INGRESOS NETOS</t>
  </si>
  <si>
    <t>TOTAL IMPUESTOS PAGADOS</t>
  </si>
  <si>
    <t>TOTAL CRÉDITO FISCAL</t>
  </si>
  <si>
    <t>Meta Mensual</t>
  </si>
  <si>
    <t>Ganacia Mensual Generada</t>
  </si>
  <si>
    <t>RESUMEN ANUAL DE GANANCIAS</t>
  </si>
  <si>
    <t>Detalle</t>
  </si>
  <si>
    <t>Cumplimiento</t>
  </si>
  <si>
    <t>Logrado</t>
  </si>
  <si>
    <t>% de Ganancia</t>
  </si>
  <si>
    <t>Ingresos Netos</t>
  </si>
  <si>
    <t>Egresos Totales</t>
  </si>
  <si>
    <t>Saldo Acumulado</t>
  </si>
  <si>
    <t>Resultado / Mes</t>
  </si>
  <si>
    <t>FLUJO DE EFECTIVO</t>
  </si>
  <si>
    <r>
      <t xml:space="preserve">Campos automáticos, </t>
    </r>
    <r>
      <rPr>
        <b/>
        <sz val="11"/>
        <color rgb="FFFF5757"/>
        <rFont val="Calibri"/>
        <family val="2"/>
      </rPr>
      <t>NO modificar</t>
    </r>
    <r>
      <rPr>
        <sz val="11"/>
        <color rgb="FFFF5757"/>
        <rFont val="Calibri"/>
        <family val="2"/>
      </rPr>
      <t>, evita el error</t>
    </r>
  </si>
  <si>
    <t>Ganancia</t>
  </si>
  <si>
    <t>Aditivos</t>
  </si>
  <si>
    <t>Afilado</t>
  </si>
  <si>
    <t>Alimento Granja</t>
  </si>
  <si>
    <t>Combustible</t>
  </si>
  <si>
    <t>Consumo Personal</t>
  </si>
  <si>
    <t>Descartables</t>
  </si>
  <si>
    <t>Desinfección</t>
  </si>
  <si>
    <t>Dosis de Inseminación</t>
  </si>
  <si>
    <t>Higiene y Seguridad</t>
  </si>
  <si>
    <t>Indumentaria</t>
  </si>
  <si>
    <t>Insumos</t>
  </si>
  <si>
    <t>Librería</t>
  </si>
  <si>
    <t>Limpieza</t>
  </si>
  <si>
    <t>Matadero</t>
  </si>
  <si>
    <t>Material de construcción</t>
  </si>
  <si>
    <t>Mercadería para la venta</t>
  </si>
  <si>
    <t>Retiro</t>
  </si>
  <si>
    <t>Seguros</t>
  </si>
  <si>
    <t>Servicio Técnico</t>
  </si>
  <si>
    <t>Stopcar</t>
  </si>
  <si>
    <t>Caja Chica Alvear</t>
  </si>
  <si>
    <t>Caja Chica San Martín</t>
  </si>
  <si>
    <t>Caja Chica San Rafael</t>
  </si>
  <si>
    <t>Cheque Emitido</t>
  </si>
  <si>
    <t>Cheque Endosado</t>
  </si>
  <si>
    <t>Tarjeta</t>
  </si>
  <si>
    <t>Noviembre</t>
  </si>
  <si>
    <t>Pesos</t>
  </si>
  <si>
    <t>Ventas Local San Martín</t>
  </si>
  <si>
    <t>Ventas Local Alvear</t>
  </si>
  <si>
    <t>Ventas Frigorífico</t>
  </si>
  <si>
    <t>Ventas Mendoza (Mauri)</t>
  </si>
  <si>
    <t>Ventas Local San Rafael</t>
  </si>
  <si>
    <t>Deposito</t>
  </si>
  <si>
    <t>Banco Nación</t>
  </si>
  <si>
    <t>Banco Superville</t>
  </si>
  <si>
    <t>Banco Santander</t>
  </si>
  <si>
    <t>Alvear</t>
  </si>
  <si>
    <t>Colaboración</t>
  </si>
  <si>
    <t>Honorarios Profesionales</t>
  </si>
  <si>
    <t>Laboratorio/Medicamentos/Vacunas granja</t>
  </si>
  <si>
    <t>Mano de obra/Contratista</t>
  </si>
  <si>
    <t>Maquinas/Herramientas</t>
  </si>
  <si>
    <t>Medicina Laboral</t>
  </si>
  <si>
    <t>Gastos Administrativos</t>
  </si>
  <si>
    <t>Sindicatos</t>
  </si>
  <si>
    <t>Transporte/Encomienda</t>
  </si>
  <si>
    <t>Mantenimiento vehículos</t>
  </si>
  <si>
    <t>Servicios e Impuestos</t>
  </si>
  <si>
    <t>Acreditación</t>
  </si>
  <si>
    <t>Frio Andino</t>
  </si>
  <si>
    <t>Gastos Bancarios</t>
  </si>
  <si>
    <t>Caja Chica Buenos Aires</t>
  </si>
  <si>
    <t>Alvear Pintura p/ local</t>
  </si>
  <si>
    <t>Alvear lavado kangoo y peugeot exp</t>
  </si>
  <si>
    <t>Frigorífico verduras</t>
  </si>
  <si>
    <t>Frigorífico vino</t>
  </si>
  <si>
    <t>San Martín Publicidad movil</t>
  </si>
  <si>
    <t>San Martín Adelanto</t>
  </si>
  <si>
    <t>San Martín la española</t>
  </si>
  <si>
    <t>San Martín Hielo</t>
  </si>
  <si>
    <t>San Rafael Pan Casero</t>
  </si>
  <si>
    <t>Mario ($1.916.000)</t>
  </si>
  <si>
    <t>San Rafael Pan casero</t>
  </si>
  <si>
    <t xml:space="preserve">San Martín Broches de abrochadora </t>
  </si>
  <si>
    <t>Casa Central Claro Oct. Y Nov.</t>
  </si>
  <si>
    <t>Frigorífico Matafuegos</t>
  </si>
  <si>
    <t>Frigorífico sustituto lacteo</t>
  </si>
  <si>
    <t>Alvear Kangoo</t>
  </si>
  <si>
    <t>San Martín reparación de heladera</t>
  </si>
  <si>
    <t>San Martín la serenísima</t>
  </si>
  <si>
    <t>San Martín la virginia</t>
  </si>
  <si>
    <t>Orlando ($200.000)</t>
  </si>
  <si>
    <t>San Rafael leña</t>
  </si>
  <si>
    <t>San Rafael pan casero</t>
  </si>
  <si>
    <t>San Rafael Partner</t>
  </si>
  <si>
    <t>Granja Jaula Talsec</t>
  </si>
  <si>
    <t>Alvear R20 Octubre</t>
  </si>
  <si>
    <t>Alvear kangoo</t>
  </si>
  <si>
    <t>San Martín leña</t>
  </si>
  <si>
    <t xml:space="preserve">San Martín folletos </t>
  </si>
  <si>
    <t xml:space="preserve">Casa Central </t>
  </si>
  <si>
    <t xml:space="preserve">Frigorífico </t>
  </si>
  <si>
    <t>Frigorífico disur</t>
  </si>
  <si>
    <t xml:space="preserve">Casa Central agua </t>
  </si>
  <si>
    <t>Alvear Rina</t>
  </si>
  <si>
    <t>San Rafael Rina</t>
  </si>
  <si>
    <t>San Martín Ajo y perejil</t>
  </si>
  <si>
    <t>San Martín Agua</t>
  </si>
  <si>
    <t xml:space="preserve"> Alvear Quiroga Pan</t>
  </si>
  <si>
    <t>Lili ($650.000)</t>
  </si>
  <si>
    <t>Frigorífico Tocino</t>
  </si>
  <si>
    <t>Frigorífico plomería</t>
  </si>
  <si>
    <t>Frigorífico Camión Ford</t>
  </si>
  <si>
    <t>Nestor ($1.700.000)</t>
  </si>
  <si>
    <t>Granja Combustible</t>
  </si>
  <si>
    <t>Frigorífico Combustible</t>
  </si>
  <si>
    <t>Campo Combustible</t>
  </si>
  <si>
    <t>San Martín Coca cola</t>
  </si>
  <si>
    <t>Alvear Coca cola</t>
  </si>
  <si>
    <t>San Rafael Distribuidora Piazze</t>
  </si>
  <si>
    <t>Frigorífico YPF gas</t>
  </si>
  <si>
    <t>Casa central impuesto vep faena</t>
  </si>
  <si>
    <t>Cheque recibido</t>
  </si>
  <si>
    <t>Alvear Palacios Pan</t>
  </si>
  <si>
    <t>Alvear alarma</t>
  </si>
  <si>
    <t>Frigorífico Buspack</t>
  </si>
  <si>
    <t>Nestor ($300.000)</t>
  </si>
  <si>
    <t>Frigorífico electrodos millan</t>
  </si>
  <si>
    <t>Frigorífico</t>
  </si>
  <si>
    <t>Granja</t>
  </si>
  <si>
    <t>Alvear Fiorino</t>
  </si>
  <si>
    <t xml:space="preserve">Campo Bauza </t>
  </si>
  <si>
    <t>San Martín Bandejas para lengua  a la vinagreta</t>
  </si>
  <si>
    <t>San Martín adelantos</t>
  </si>
  <si>
    <t>San Martín Pan Casero</t>
  </si>
  <si>
    <t>San Martín Sal y papael higienico</t>
  </si>
  <si>
    <t>Mario ($1.813.000)</t>
  </si>
  <si>
    <t>Mario ($1.601.500)</t>
  </si>
  <si>
    <t>San Rafael fotocopias</t>
  </si>
  <si>
    <t>San Rafael prepizza</t>
  </si>
  <si>
    <t>San Rafael adelanto</t>
  </si>
  <si>
    <t>San Rafael R20</t>
  </si>
  <si>
    <t>Mario ($1.418.000)</t>
  </si>
  <si>
    <t>Casa Central papel manteca y papel film</t>
  </si>
  <si>
    <t>San Martín Ríe la Huerta</t>
  </si>
  <si>
    <t>Frigorífico Baldinelli</t>
  </si>
  <si>
    <t>San Rafael Novara (ch 3671,3672) $2.095.054,87</t>
  </si>
  <si>
    <t>San Rafael novara (ch 90)</t>
  </si>
  <si>
    <t>Alvear Novara (ch 90)</t>
  </si>
  <si>
    <t>Alvear quias</t>
  </si>
  <si>
    <t>Casa central licencia adobe</t>
  </si>
  <si>
    <t>Frigorífico quias (ch 3667-3670) $2.511.308,52</t>
  </si>
  <si>
    <t>San Martín quias (ch 3667-3670) $1.327.243,28</t>
  </si>
  <si>
    <t>San Rafael quias (ch 3667-3670)$570.802,13</t>
  </si>
  <si>
    <t>Alvear quias (ch 3667-3670) $73.749,50</t>
  </si>
  <si>
    <t>Frigorífico Quickly</t>
  </si>
  <si>
    <t>Frigorífico quickly (ch 473)</t>
  </si>
  <si>
    <t>Casa central Afip Fideicomiso Fipor</t>
  </si>
  <si>
    <t>Casa central Afip Fideicomiso Daroag</t>
  </si>
  <si>
    <t xml:space="preserve">Granja agroceres pic </t>
  </si>
  <si>
    <t>Granja Maiz Fioretti</t>
  </si>
  <si>
    <t>San Rafael</t>
  </si>
  <si>
    <t xml:space="preserve">San Martín </t>
  </si>
  <si>
    <t>Frigorífico Cinta papel</t>
  </si>
  <si>
    <t>San Martín supercanal</t>
  </si>
  <si>
    <t>San Martín Supercanal pagdo 2 veces</t>
  </si>
  <si>
    <t>Alvear Ecogas</t>
  </si>
  <si>
    <t>superville ($2.000.000)</t>
  </si>
  <si>
    <t>Alvear Cambio de aceite y filtro kangoo</t>
  </si>
  <si>
    <t>Alvear FM Raices</t>
  </si>
  <si>
    <t>Frigorífico Verdura</t>
  </si>
  <si>
    <t>Lili ($700.000)</t>
  </si>
  <si>
    <t>San Martín panadería delizia</t>
  </si>
  <si>
    <t>San Martín Viomar</t>
  </si>
  <si>
    <t>San Rafael Leña</t>
  </si>
  <si>
    <t>San Rafael Goma eva y marcador</t>
  </si>
  <si>
    <t>Alvear Distrimax</t>
  </si>
  <si>
    <t>San Rafael Distribuidora Santa Fe</t>
  </si>
  <si>
    <t>Alvear Distribuidora santa fe</t>
  </si>
  <si>
    <t>Frigorífico distribuidora santa fe</t>
  </si>
  <si>
    <t>San Rafael luis martin</t>
  </si>
  <si>
    <t>Frigorífico luis martin</t>
  </si>
  <si>
    <t>Alvear luis martin</t>
  </si>
  <si>
    <t>Alvear ridisa</t>
  </si>
  <si>
    <t>Alvear Rina (ch 304,1356)</t>
  </si>
  <si>
    <t>Alvear frigor</t>
  </si>
  <si>
    <t>Alvear Expreso malargüe</t>
  </si>
  <si>
    <t>Alvear Chips</t>
  </si>
  <si>
    <t>San Rafael Chips</t>
  </si>
  <si>
    <t>Casa central sancor seguros</t>
  </si>
  <si>
    <t>Campo Internet cecsagal</t>
  </si>
  <si>
    <t>Alvear Internet Cecsagal</t>
  </si>
  <si>
    <t>Casa central impuesto arba</t>
  </si>
  <si>
    <t>Alvear Panella</t>
  </si>
  <si>
    <t>San Rafael Panella</t>
  </si>
  <si>
    <t>Campo clop (ch 3676) $1.145.000</t>
  </si>
  <si>
    <t>Alvear tonner p/ impresora</t>
  </si>
  <si>
    <t>Nestor ($950.000)</t>
  </si>
  <si>
    <t>San Martín pan casero</t>
  </si>
  <si>
    <t>San Martín pasaje paola</t>
  </si>
  <si>
    <t>San Martín viomar</t>
  </si>
  <si>
    <t>Mario ($1.264.000)</t>
  </si>
  <si>
    <t>Alvear papelería entre rios</t>
  </si>
  <si>
    <t>Casa central papelería entre rios</t>
  </si>
  <si>
    <t>Naturgy</t>
  </si>
  <si>
    <t>Aysa 3746630</t>
  </si>
  <si>
    <t>Aysa 3746628</t>
  </si>
  <si>
    <t>Aysa 3746627</t>
  </si>
  <si>
    <t>Aysa 3746626</t>
  </si>
  <si>
    <t>Aysa 3746625</t>
  </si>
  <si>
    <t>Aysa 3746624</t>
  </si>
  <si>
    <t>Monteverde claro</t>
  </si>
  <si>
    <t>San Rafael CTC</t>
  </si>
  <si>
    <t>Casa central Sancor seguros</t>
  </si>
  <si>
    <t>San Martín ingresos brutos de Mayo a Agosto</t>
  </si>
  <si>
    <t>Casa central cable impresora</t>
  </si>
  <si>
    <t>Alvear CEC</t>
  </si>
  <si>
    <t>Frigorífico CEC</t>
  </si>
  <si>
    <t>Casa central contador Sabatini</t>
  </si>
  <si>
    <t xml:space="preserve"> Alvear contador Sabatini</t>
  </si>
  <si>
    <t>Frigorífico contador Sabatini</t>
  </si>
  <si>
    <t>San Rafael contador Sabatini</t>
  </si>
  <si>
    <t>Campo contador Sabatini</t>
  </si>
  <si>
    <t>Granja contador Sabatini</t>
  </si>
  <si>
    <t>San Martín Sancor seguros</t>
  </si>
  <si>
    <t>Frigorífico Disur</t>
  </si>
  <si>
    <t>San Rafael Disur</t>
  </si>
  <si>
    <t>Alvear Disur</t>
  </si>
  <si>
    <t>San Rafael Ridisa (ch 3680) $417.796,51</t>
  </si>
  <si>
    <t>San Rafael Ridisa (ch 3679) $334.623,83</t>
  </si>
  <si>
    <t>Frigorífico Servicio faena matadero G.A.</t>
  </si>
  <si>
    <t>Frigorífico film y bolsas descartables JM</t>
  </si>
  <si>
    <t>Mario ($1.607.000)</t>
  </si>
  <si>
    <t>Alvear taxi paola</t>
  </si>
  <si>
    <t xml:space="preserve">Alvear </t>
  </si>
  <si>
    <t>Frigorífico Cajas</t>
  </si>
  <si>
    <t>Frigorífico focos camión ford</t>
  </si>
  <si>
    <t>Frigorífico tornillos</t>
  </si>
  <si>
    <t>Frigorífico sierras</t>
  </si>
  <si>
    <t>Alvear pan quiroga</t>
  </si>
  <si>
    <t>Orlando ($100.000)</t>
  </si>
  <si>
    <t>San Martín publicidad movil</t>
  </si>
  <si>
    <t>San Martín copias a color</t>
  </si>
  <si>
    <t>San Martín chinchulines bodega Haroldos</t>
  </si>
  <si>
    <t>Granja Maiz Carrillo</t>
  </si>
  <si>
    <t>Frigorífico LTJ guantes de nitrilo</t>
  </si>
  <si>
    <t>San Martín hilo p/ chorizo</t>
  </si>
  <si>
    <t>Alvear hojas</t>
  </si>
  <si>
    <t>San Martín Adornos navideños</t>
  </si>
  <si>
    <t>San Martín sobres de papel</t>
  </si>
  <si>
    <t>San Martín agua</t>
  </si>
  <si>
    <t>San Martín</t>
  </si>
  <si>
    <t>San Martín atrapa polvo</t>
  </si>
  <si>
    <t>San Martín Insecticida</t>
  </si>
  <si>
    <t>Orlando ($1.500.000)</t>
  </si>
  <si>
    <t>San Martín sierra</t>
  </si>
  <si>
    <t xml:space="preserve">San Martín refrigerante aire </t>
  </si>
  <si>
    <t>San Martín 931</t>
  </si>
  <si>
    <t>San Martín girgolas</t>
  </si>
  <si>
    <t>San Rafael los sauces</t>
  </si>
  <si>
    <t>San Rafael distribuidora santa fe</t>
  </si>
  <si>
    <t>San Martín Palsticos sarmientos</t>
  </si>
  <si>
    <t>San Rafael Palsticos sarmientos</t>
  </si>
  <si>
    <t>Alvear Palsticos sarmientos</t>
  </si>
  <si>
    <t>San Rafael la serenísima</t>
  </si>
  <si>
    <t xml:space="preserve">Granja Expeler san josé </t>
  </si>
  <si>
    <t>Granja expeler san jose (ch 3688,3686,3689,3690,3691,3692) $6.392.913</t>
  </si>
  <si>
    <t>Alvear Vinos porta carlos (ch 3682) $144.000)</t>
  </si>
  <si>
    <t>Alvear rina (ch 3684) $1.891.250,74</t>
  </si>
  <si>
    <t>San Martín Miel</t>
  </si>
  <si>
    <t>Alvear familia lalik (ch 3685) $150.000</t>
  </si>
  <si>
    <t xml:space="preserve">San Rafael huilen </t>
  </si>
  <si>
    <t>Alvear Gallardo</t>
  </si>
  <si>
    <t>Frigorífico calzado salamone</t>
  </si>
  <si>
    <t>San Martín Distri max (ch 13) $46.140</t>
  </si>
  <si>
    <t>San Martín gallardo (ch 14) $29.674,52</t>
  </si>
  <si>
    <t>San Martín alcholes andinos (ch 15) $18.000</t>
  </si>
  <si>
    <t>San Martín lomoro (ch 18) $27.486,40</t>
  </si>
  <si>
    <t>San Martín viomar (ch 19) $839.000</t>
  </si>
  <si>
    <t>San Rafael la española</t>
  </si>
  <si>
    <t>Alvear la española</t>
  </si>
  <si>
    <t>Granja carrillo maiz</t>
  </si>
  <si>
    <t>Granja fioretti maiz</t>
  </si>
  <si>
    <t>San Martín bobina papel</t>
  </si>
  <si>
    <t>Granja maiz fioretti</t>
  </si>
  <si>
    <t>Alvear leña</t>
  </si>
  <si>
    <t>Alvear palacios pan</t>
  </si>
  <si>
    <t>Superville ($1.750.000)</t>
  </si>
  <si>
    <t>Nestor ($1.250.000)</t>
  </si>
  <si>
    <t>Nestor ($1.000.000)</t>
  </si>
  <si>
    <t>Alvear sueldos</t>
  </si>
  <si>
    <t>Granja Jaula talsec</t>
  </si>
  <si>
    <t>San Martín panella</t>
  </si>
  <si>
    <t>San Martín caños negros</t>
  </si>
  <si>
    <t>San Martín tornillos</t>
  </si>
  <si>
    <t>San Martín cables</t>
  </si>
  <si>
    <t>San Rafael partner</t>
  </si>
  <si>
    <t>San Rafael descartables JM</t>
  </si>
  <si>
    <t>San Rafael alargue p/ heladera</t>
  </si>
  <si>
    <t>San Rafael Agua</t>
  </si>
  <si>
    <t>San Rafael cambio cable embrague partner</t>
  </si>
  <si>
    <t>Mario ($820.500)</t>
  </si>
  <si>
    <t>San Rafael cadena p/ candado</t>
  </si>
  <si>
    <t>Mario ($2.642.000)</t>
  </si>
  <si>
    <t>Casa central edemsa</t>
  </si>
  <si>
    <t>Granja maiz carrillo</t>
  </si>
  <si>
    <t>Mario ($705.500)</t>
  </si>
  <si>
    <t>San Martín vinos</t>
  </si>
  <si>
    <t>San Martín bodega los Haroldos vacio, morcilla y chinchulines</t>
  </si>
  <si>
    <t>San Martín sierra y cuchilla</t>
  </si>
  <si>
    <t>Alvear números p/ carnicería</t>
  </si>
  <si>
    <t>Alvear agua</t>
  </si>
  <si>
    <t>Frigorífico remaches</t>
  </si>
  <si>
    <t>Alvear quiroga pan</t>
  </si>
  <si>
    <t>Alvear taxi</t>
  </si>
  <si>
    <t>Frigorífico camión Iveco</t>
  </si>
  <si>
    <t>Alvear peaje</t>
  </si>
  <si>
    <t>Alvear ISCAMEN</t>
  </si>
  <si>
    <t>Lili ($1.110.000)</t>
  </si>
  <si>
    <t>San Martín aceitunas y aceite</t>
  </si>
  <si>
    <t>Frigorífico JM</t>
  </si>
  <si>
    <t>San Rafael foco baño y pasillo</t>
  </si>
  <si>
    <t>San Martín copia llave</t>
  </si>
  <si>
    <t>Casa central reparación de impresora y cable</t>
  </si>
  <si>
    <t>Alvear gallardo (ch 3585)</t>
  </si>
  <si>
    <t>San Martín viomar (ch 3603)</t>
  </si>
  <si>
    <t>San Martín viomar (ch 3587)</t>
  </si>
  <si>
    <t>San Rafael novara (ch 3606)</t>
  </si>
  <si>
    <t>Alvear novara (ch 3632)</t>
  </si>
  <si>
    <t>Frigorífico tripas shorton (ch 3660)</t>
  </si>
  <si>
    <t>Alvear gallardo (ch 3652)</t>
  </si>
  <si>
    <t>San Martín viomar (ch 3623)</t>
  </si>
  <si>
    <t>Alvear allolio (ch 3604)</t>
  </si>
  <si>
    <t>Frigorífico plasticos dise (ch 3659)</t>
  </si>
  <si>
    <t xml:space="preserve">San Rafael Allolio (ch 3673) </t>
  </si>
  <si>
    <t xml:space="preserve">Frigorífico LTJ guantes de nitrilo (ch 3675) </t>
  </si>
  <si>
    <t xml:space="preserve">Frigorífico Servicio faena SR (ch 3674) </t>
  </si>
  <si>
    <t>Alvear cereales el diamante (ch 3654)</t>
  </si>
  <si>
    <t>San Rafael cereales el diamante (ch 3654)</t>
  </si>
  <si>
    <t>Frigorífico la piana (ch 3645)</t>
  </si>
  <si>
    <t xml:space="preserve">Alvear mixme (ch 3677) </t>
  </si>
  <si>
    <t xml:space="preserve">San Rafael mixme (ch 3677) </t>
  </si>
  <si>
    <t xml:space="preserve">Frigorífico Servicio faena SR (ch 3678) </t>
  </si>
  <si>
    <t>Granja VLC (ch 1528)</t>
  </si>
  <si>
    <t>Frigorífico tripas (ch 1522)</t>
  </si>
  <si>
    <t>Frigorífico servicio faena SR (ch 1493)</t>
  </si>
  <si>
    <t>t</t>
  </si>
  <si>
    <t xml:space="preserve">San Martín lomoro (ch 16) </t>
  </si>
  <si>
    <t xml:space="preserve">San Martín lomoro (ch 17) </t>
  </si>
  <si>
    <t xml:space="preserve">San Martín formagge (ch 12) </t>
  </si>
  <si>
    <t>San Martín los sauces (ch 02)</t>
  </si>
  <si>
    <t>San Martín rina (ch 08)</t>
  </si>
  <si>
    <t>San Martín rina (ch 09)</t>
  </si>
  <si>
    <t>Casa central impuesto bancario fideicomiso</t>
  </si>
  <si>
    <t>Debito automático</t>
  </si>
  <si>
    <t>Banco Superville castelar</t>
  </si>
  <si>
    <t>Banco Galicia</t>
  </si>
  <si>
    <t>San Rafael lavado partner</t>
  </si>
  <si>
    <t>Mario ($1.339.000)</t>
  </si>
  <si>
    <t>San Rafael bandejas aluminio</t>
  </si>
  <si>
    <t>San Rafael coca cola</t>
  </si>
  <si>
    <t>Alvear coca cola</t>
  </si>
  <si>
    <t>San Martín coca cola</t>
  </si>
  <si>
    <t>San Martín INACAP y FAECYS</t>
  </si>
  <si>
    <t>San Martín ríe la huerta</t>
  </si>
  <si>
    <t>Casa central cables para reparación</t>
  </si>
  <si>
    <t>San Martín la piana (ch 21) $951.288,44</t>
  </si>
  <si>
    <t xml:space="preserve">Frigorífico tarteras </t>
  </si>
  <si>
    <t>Alvear cecsagal</t>
  </si>
  <si>
    <t>San Rafael Novara (ch 3697, 98, 99, 3700) $2.264.178,75</t>
  </si>
  <si>
    <t>Alvear novara (ch 3697, 98, 99, 3700) $2.219.075,29</t>
  </si>
  <si>
    <t>Alvear rina (ch 3693) $598.241,79</t>
  </si>
  <si>
    <t>Alvear rina (ch 3694, 3695) $1.845.771,21</t>
  </si>
  <si>
    <t>San Rafael rina (ch 3696) $215.649,18</t>
  </si>
  <si>
    <t xml:space="preserve">Alvear Baca </t>
  </si>
  <si>
    <t>San Rafael Baca</t>
  </si>
  <si>
    <t>Frigorífico Baca</t>
  </si>
  <si>
    <t>San Martín Baca</t>
  </si>
  <si>
    <t>Casa central impuesto Sicore</t>
  </si>
  <si>
    <t>San Martín Vanguard (ch 22) $285.689,60</t>
  </si>
  <si>
    <t>San Martín Durang</t>
  </si>
  <si>
    <t>San Rafael rina</t>
  </si>
  <si>
    <t>Alvear rina</t>
  </si>
  <si>
    <t>San Martín rina (ch 24) $302.430,95</t>
  </si>
  <si>
    <t>San Martín rina (ch 23) $226.189,19</t>
  </si>
  <si>
    <t>Frigorífico bernesa</t>
  </si>
  <si>
    <t>(ch 3701, 3702, 3703) $603.317,47</t>
  </si>
  <si>
    <t>San Martín Viomar (ch 25) $1.298.500</t>
  </si>
  <si>
    <t>San Martín lomoro (ch 26) $31.415,95</t>
  </si>
  <si>
    <t>San Martín distri max (ch 27) $112.200</t>
  </si>
  <si>
    <t>Frigorífico servicio faena (ch 3716) $1.164.365</t>
  </si>
  <si>
    <t>Frigorífico servicio faena (ch 3715) $1.115.790</t>
  </si>
  <si>
    <t>Alvear panella</t>
  </si>
  <si>
    <t>San Rafael panella</t>
  </si>
  <si>
    <t>San Martín durang</t>
  </si>
  <si>
    <t>Campo Sitner</t>
  </si>
  <si>
    <t>Nestor ($600.000)</t>
  </si>
  <si>
    <t>Granja carrillo maíz</t>
  </si>
  <si>
    <t>Alvear cloro</t>
  </si>
  <si>
    <t>Frigorífico cloro</t>
  </si>
  <si>
    <t>Alvear código 454 bolsa de comercio</t>
  </si>
  <si>
    <t>Granja maiz candela</t>
  </si>
  <si>
    <t>Superville ($1.000.000)</t>
  </si>
  <si>
    <t>San Martín Leña</t>
  </si>
  <si>
    <t>Lili ($1.300.000)</t>
  </si>
  <si>
    <t>San Martín hielo</t>
  </si>
  <si>
    <t>San Martín anchoas</t>
  </si>
  <si>
    <t>San Martín mostaza</t>
  </si>
  <si>
    <t>Mario ($1.284.000)</t>
  </si>
  <si>
    <t>San Rafael agua</t>
  </si>
  <si>
    <t>Frigorífico adhesivo</t>
  </si>
  <si>
    <t>Frigorífico verdura</t>
  </si>
  <si>
    <t>Alvear todo rico</t>
  </si>
  <si>
    <t>Alvear clarisa</t>
  </si>
  <si>
    <t>Alvear distribuidora andina</t>
  </si>
  <si>
    <t>Frigorífico distribuidora andina</t>
  </si>
  <si>
    <t>San Martín pasaje Paola</t>
  </si>
  <si>
    <t>Alvear dispasur</t>
  </si>
  <si>
    <t>Frigorífico mercado metalurgico</t>
  </si>
  <si>
    <t>Campo bauza Bs. As.</t>
  </si>
  <si>
    <t>Nestor($1.000.000)</t>
  </si>
  <si>
    <t>San Martín valvula aire</t>
  </si>
  <si>
    <t>San Martín Panella</t>
  </si>
  <si>
    <t>San Martín full max</t>
  </si>
  <si>
    <t>San Martín perejil,curry y mostaza</t>
  </si>
  <si>
    <t>Orlando ($1.370.000)</t>
  </si>
  <si>
    <t>San Martín adornos navidad</t>
  </si>
  <si>
    <t>San Rafael recibos y cinta</t>
  </si>
  <si>
    <t>Mario ($2.177.820)</t>
  </si>
  <si>
    <t>San Rafael cable de embriague partner</t>
  </si>
  <si>
    <t>Mario ($3.912.000)</t>
  </si>
  <si>
    <t>San Martín Edeste</t>
  </si>
  <si>
    <t>Campo Contador Sabatini</t>
  </si>
  <si>
    <t>Granja Contador Sabatini</t>
  </si>
  <si>
    <t>Frigorífico Contador Sabatini</t>
  </si>
  <si>
    <t>Alvear Contador Sabatini</t>
  </si>
  <si>
    <t>San Rafael Contador Sabatini</t>
  </si>
  <si>
    <t>Casa central Contador Sabatini</t>
  </si>
  <si>
    <t>Alvear camara de comercio</t>
  </si>
  <si>
    <t>Frigorífico latas de morrón</t>
  </si>
  <si>
    <t>Frigorífico camión ford</t>
  </si>
  <si>
    <t>Frigorífico camión iveco</t>
  </si>
  <si>
    <t>San Martín polietileno, papel y pulverizador</t>
  </si>
  <si>
    <t>San Martín mecha p/ taladro</t>
  </si>
  <si>
    <t>San Martín bandejas carnicería</t>
  </si>
  <si>
    <t>Orlando ($3.100.000)</t>
  </si>
  <si>
    <t>San Rafael fotocopias a color</t>
  </si>
  <si>
    <t>San Rafael prepizzas</t>
  </si>
  <si>
    <t>Mario ($2.183.000)</t>
  </si>
  <si>
    <t>San Rafael centro empleados de comercio</t>
  </si>
  <si>
    <t>Granja expeler daireaux (ch 3717-3721) $11.760.021</t>
  </si>
  <si>
    <t>San Rafael Huilen</t>
  </si>
  <si>
    <t>San Martín cereales el diamante</t>
  </si>
  <si>
    <t>San Martín yemita</t>
  </si>
  <si>
    <t>San Martín Rina (ch28) $237.918,69</t>
  </si>
  <si>
    <t>Casa central Impuesto IIBB</t>
  </si>
  <si>
    <t>San Martín viomar (ch 29) $1.113.600</t>
  </si>
  <si>
    <t>Walter ($200.000)</t>
  </si>
  <si>
    <t>Orlando ($3.339.000)</t>
  </si>
  <si>
    <t>Mario ($2.029.000)</t>
  </si>
  <si>
    <t>San Rafael edemsa</t>
  </si>
  <si>
    <t>San Rafael Coca cola</t>
  </si>
  <si>
    <t>Casa central vep faena</t>
  </si>
  <si>
    <t>Frigorífico zarmati</t>
  </si>
  <si>
    <t>San Rafael luis martín</t>
  </si>
  <si>
    <t>San Rafael Zarmati</t>
  </si>
  <si>
    <t>Alvear Zarmati</t>
  </si>
  <si>
    <t>Superville ($4.700.000)</t>
  </si>
  <si>
    <t>Alvear teclado para oficina</t>
  </si>
  <si>
    <t>Frigorífico verduras p/ frigo</t>
  </si>
  <si>
    <t>San Martín pinturería arcoiris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</si>
</sst>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\ #,##0;[Red]\-&quot;$&quot;\ #,##0"/>
    <numFmt numFmtId="7" formatCode="&quot;$&quot;\ #,##0.00;\-&quot;$&quot;\ #,##0.00"/>
    <numFmt numFmtId="164" formatCode="_-&quot;$&quot;* #,##0.00_-;\-&quot;$&quot;* #,##0.00_-;_-&quot;$&quot;* &quot;-&quot;??_-;_-@_-"/>
    <numFmt numFmtId="165" formatCode="_(&quot;$&quot;* #,##0.00_);_(&quot;$&quot;* \(#,##0.00\);_(&quot;$&quot;* &quot;-&quot;??_);_(@_)"/>
    <numFmt numFmtId="166" formatCode="m/d/yyyy"/>
    <numFmt numFmtId="167" formatCode="mmmm"/>
    <numFmt numFmtId="168" formatCode="yyyy"/>
    <numFmt numFmtId="169" formatCode="mmmm\ yyyy"/>
    <numFmt numFmtId="170" formatCode="mmm"/>
  </numFmts>
  <fonts count="29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2"/>
      <color theme="1"/>
      <name val="Calibri"/>
      <family val="2"/>
    </font>
    <font>
      <b/>
      <sz val="12"/>
      <color theme="0"/>
      <name val="Calibri"/>
      <family val="2"/>
    </font>
    <font>
      <sz val="8"/>
      <name val="Calibri"/>
      <family val="2"/>
    </font>
    <font>
      <b/>
      <sz val="20"/>
      <color theme="0"/>
      <name val="Calibri"/>
      <family val="2"/>
    </font>
    <font>
      <sz val="11"/>
      <color rgb="FFFF5757"/>
      <name val="Calibri"/>
      <family val="2"/>
    </font>
    <font>
      <b/>
      <sz val="11"/>
      <color rgb="FFFF5757"/>
      <name val="Calibri"/>
      <family val="2"/>
    </font>
    <font>
      <b/>
      <sz val="12"/>
      <color rgb="FF464555"/>
      <name val="Calibri"/>
      <family val="2"/>
    </font>
    <font>
      <b/>
      <sz val="14"/>
      <color theme="0"/>
      <name val="Calibri"/>
      <family val="2"/>
    </font>
    <font>
      <b/>
      <sz val="16"/>
      <color theme="0"/>
      <name val="Calibri"/>
      <family val="2"/>
    </font>
    <font>
      <b/>
      <sz val="16"/>
      <color rgb="FF464555"/>
      <name val="Calibri"/>
      <family val="2"/>
    </font>
    <font>
      <b/>
      <sz val="12"/>
      <color rgb="FF7ED957"/>
      <name val="Calibri"/>
      <family val="2"/>
    </font>
    <font>
      <b/>
      <sz val="24"/>
      <color theme="0"/>
      <name val="Calibri"/>
      <family val="2"/>
    </font>
    <font>
      <b/>
      <sz val="11"/>
      <color rgb="FF464555"/>
      <name val="Calibri"/>
      <family val="2"/>
    </font>
    <font>
      <b/>
      <sz val="11"/>
      <color rgb="FFFF0000"/>
      <name val="Calibri"/>
      <family val="2"/>
    </font>
    <font>
      <b/>
      <sz val="14"/>
      <color theme="1"/>
      <name val="Calibri"/>
      <family val="2"/>
    </font>
    <font>
      <sz val="7"/>
      <color theme="2"/>
      <name val="Calibri"/>
      <family val="2"/>
    </font>
    <font>
      <b/>
      <sz val="9"/>
      <color theme="1"/>
      <name val="Calibri"/>
      <family val="2"/>
    </font>
    <font>
      <b/>
      <sz val="12"/>
      <color rgb="FFFF5757"/>
      <name val="Calibri"/>
      <family val="2"/>
    </font>
    <font>
      <b/>
      <sz val="16"/>
      <color rgb="FFFF5757"/>
      <name val="Calibri"/>
      <family val="2"/>
    </font>
    <font>
      <sz val="8"/>
      <color theme="0"/>
      <name val="Calibri"/>
      <family val="2"/>
    </font>
    <font>
      <sz val="11"/>
      <color rgb="FF464555"/>
      <name val="Calibri"/>
      <family val="2"/>
    </font>
    <font>
      <b/>
      <sz val="8"/>
      <color rgb="FF464555"/>
      <name val="Calibri"/>
      <family val="2"/>
    </font>
    <font>
      <b/>
      <sz val="12"/>
      <color rgb="FF0084FF"/>
      <name val="Calibri"/>
      <family val="2"/>
    </font>
    <font>
      <b/>
      <sz val="16"/>
      <color rgb="FF0084FF"/>
      <name val="Calibri"/>
      <family val="2"/>
    </font>
    <font>
      <b/>
      <sz val="11"/>
      <color theme="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0084FF"/>
        <bgColor indexed="64"/>
      </patternFill>
    </fill>
    <fill>
      <patternFill patternType="solid">
        <fgColor rgb="FF46455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575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7EA"/>
        <bgColor indexed="64"/>
      </patternFill>
    </fill>
    <fill>
      <patternFill patternType="solid">
        <fgColor rgb="FF7ED957"/>
        <bgColor indexed="64"/>
      </patternFill>
    </fill>
    <fill>
      <patternFill patternType="solid">
        <fgColor rgb="FFFF914D"/>
        <bgColor indexed="64"/>
      </patternFill>
    </fill>
  </fills>
  <borders count="57">
    <border>
      <left/>
      <right/>
      <top/>
      <bottom/>
      <diagonal/>
    </border>
    <border>
      <left style="thin">
        <color rgb="FF464555"/>
      </left>
      <right style="thin">
        <color rgb="FF464555"/>
      </right>
      <top style="thin">
        <color rgb="FF464555"/>
      </top>
      <bottom style="thin">
        <color rgb="FF464555"/>
      </bottom>
      <diagonal/>
    </border>
    <border>
      <left style="dotted">
        <color rgb="FFFF5757"/>
      </left>
      <right style="dotted">
        <color rgb="FFFF5757"/>
      </right>
      <top style="dotted">
        <color rgb="FFFF5757"/>
      </top>
      <bottom style="dotted">
        <color rgb="FFFF5757"/>
      </bottom>
      <diagonal/>
    </border>
    <border>
      <left style="thin">
        <color rgb="FF0084FF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rgb="FF0084FF"/>
      </right>
      <top/>
      <bottom/>
      <diagonal/>
    </border>
    <border>
      <left style="thin">
        <color rgb="FF464555"/>
      </left>
      <right style="thin">
        <color rgb="FF464555"/>
      </right>
      <top style="thin">
        <color rgb="FF464555"/>
      </top>
      <bottom/>
      <diagonal/>
    </border>
    <border>
      <left style="dotted">
        <color rgb="FF0084FF"/>
      </left>
      <right style="dotted">
        <color rgb="FF0084FF"/>
      </right>
      <top style="dotted">
        <color rgb="FF0084FF"/>
      </top>
      <bottom style="dotted">
        <color rgb="FF0084FF"/>
      </bottom>
      <diagonal/>
    </border>
    <border>
      <left style="thin">
        <color rgb="FF464555"/>
      </left>
      <right/>
      <top/>
      <bottom/>
      <diagonal/>
    </border>
    <border>
      <left style="thin">
        <color rgb="FF0084FF"/>
      </left>
      <right style="thin">
        <color rgb="FFFF5757"/>
      </right>
      <top/>
      <bottom/>
      <diagonal/>
    </border>
    <border>
      <left style="thin">
        <color rgb="FF0084FF"/>
      </left>
      <right style="thin">
        <color rgb="FF0084FF"/>
      </right>
      <top style="thin">
        <color rgb="FF0084FF"/>
      </top>
      <bottom style="thin">
        <color theme="0"/>
      </bottom>
      <diagonal/>
    </border>
    <border>
      <left style="thin">
        <color rgb="FF464555"/>
      </left>
      <right style="thin">
        <color rgb="FF464555"/>
      </right>
      <top/>
      <bottom style="thin">
        <color rgb="FF464555"/>
      </bottom>
      <diagonal/>
    </border>
    <border>
      <left style="thin">
        <color rgb="FF0084FF"/>
      </left>
      <right style="thin">
        <color theme="0"/>
      </right>
      <top style="thin">
        <color theme="0"/>
      </top>
      <bottom style="thin">
        <color rgb="FF0084F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0084FF"/>
      </bottom>
      <diagonal/>
    </border>
    <border>
      <left/>
      <right style="thin">
        <color rgb="FF0084FF"/>
      </right>
      <top style="thin">
        <color theme="0"/>
      </top>
      <bottom style="thin">
        <color rgb="FF0084FF"/>
      </bottom>
      <diagonal/>
    </border>
    <border>
      <left/>
      <right/>
      <top/>
      <bottom style="thin">
        <color rgb="FF0084FF"/>
      </bottom>
      <diagonal/>
    </border>
    <border>
      <left style="thin">
        <color rgb="FF0084FF"/>
      </left>
      <right style="thin">
        <color theme="0"/>
      </right>
      <top/>
      <bottom style="thin">
        <color rgb="FF0084F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0084FF"/>
      </left>
      <right/>
      <top style="thin">
        <color rgb="FF0084FF"/>
      </top>
      <bottom style="thin">
        <color theme="0"/>
      </bottom>
      <diagonal/>
    </border>
    <border>
      <left/>
      <right/>
      <top style="thin">
        <color rgb="FF0084FF"/>
      </top>
      <bottom style="thin">
        <color theme="0"/>
      </bottom>
      <diagonal/>
    </border>
    <border>
      <left/>
      <right style="thin">
        <color rgb="FF0084FF"/>
      </right>
      <top style="thin">
        <color rgb="FF0084FF"/>
      </top>
      <bottom style="thin">
        <color theme="0"/>
      </bottom>
      <diagonal/>
    </border>
    <border>
      <left/>
      <right style="thin">
        <color rgb="FF0084FF"/>
      </right>
      <top style="thin">
        <color theme="0"/>
      </top>
      <bottom style="thin">
        <color theme="0"/>
      </bottom>
      <diagonal/>
    </border>
    <border>
      <left style="thin">
        <color rgb="FF0084FF"/>
      </left>
      <right style="thin">
        <color theme="0"/>
      </right>
      <top style="thin">
        <color theme="0"/>
      </top>
      <bottom/>
      <diagonal/>
    </border>
    <border>
      <left/>
      <right style="thin">
        <color rgb="FFFF5757"/>
      </right>
      <top/>
      <bottom/>
      <diagonal/>
    </border>
    <border>
      <left/>
      <right/>
      <top/>
      <bottom style="thin">
        <color rgb="FFFF5757"/>
      </bottom>
      <diagonal/>
    </border>
    <border>
      <left style="thin">
        <color rgb="FFFF5757"/>
      </left>
      <right style="thin">
        <color theme="0"/>
      </right>
      <top/>
      <bottom style="thin">
        <color rgb="FFFF5757"/>
      </bottom>
      <diagonal/>
    </border>
    <border>
      <left style="thin">
        <color rgb="FFFF5757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rgb="FFFF5757"/>
      </bottom>
      <diagonal/>
    </border>
    <border>
      <left style="thin">
        <color rgb="FFFF5757"/>
      </left>
      <right/>
      <top style="thin">
        <color rgb="FFFF5757"/>
      </top>
      <bottom style="thin">
        <color theme="0"/>
      </bottom>
      <diagonal/>
    </border>
    <border>
      <left/>
      <right/>
      <top style="thin">
        <color rgb="FFFF5757"/>
      </top>
      <bottom style="thin">
        <color theme="0"/>
      </bottom>
      <diagonal/>
    </border>
    <border>
      <left/>
      <right style="thin">
        <color rgb="FFFF5757"/>
      </right>
      <top style="thin">
        <color rgb="FFFF5757"/>
      </top>
      <bottom style="thin">
        <color theme="0"/>
      </bottom>
      <diagonal/>
    </border>
    <border>
      <left/>
      <right style="thin">
        <color rgb="FFFF5757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rgb="FF464555"/>
      </bottom>
      <diagonal/>
    </border>
    <border>
      <left style="thin">
        <color theme="0"/>
      </left>
      <right style="thin">
        <color rgb="FF0084FF"/>
      </right>
      <top style="thin">
        <color theme="0"/>
      </top>
      <bottom style="thin">
        <color rgb="FF0084FF"/>
      </bottom>
      <diagonal/>
    </border>
    <border>
      <left style="thin">
        <color rgb="FF464555"/>
      </left>
      <right/>
      <top style="thin">
        <color rgb="FF464555"/>
      </top>
      <bottom style="thin">
        <color theme="0"/>
      </bottom>
      <diagonal/>
    </border>
    <border>
      <left/>
      <right/>
      <top style="thin">
        <color rgb="FF464555"/>
      </top>
      <bottom style="thin">
        <color theme="0"/>
      </bottom>
      <diagonal/>
    </border>
    <border>
      <left/>
      <right style="thin">
        <color rgb="FF464555"/>
      </right>
      <top style="thin">
        <color rgb="FF464555"/>
      </top>
      <bottom style="thin">
        <color theme="0"/>
      </bottom>
      <diagonal/>
    </border>
    <border>
      <left style="thin">
        <color rgb="FF464555"/>
      </left>
      <right style="thin">
        <color theme="0"/>
      </right>
      <top style="thin">
        <color theme="0"/>
      </top>
      <bottom/>
      <diagonal/>
    </border>
    <border>
      <left/>
      <right style="thin">
        <color rgb="FF464555"/>
      </right>
      <top style="thin">
        <color theme="0"/>
      </top>
      <bottom style="thin">
        <color theme="0"/>
      </bottom>
      <diagonal/>
    </border>
    <border>
      <left style="thin">
        <color rgb="FF464555"/>
      </left>
      <right style="thin">
        <color theme="0"/>
      </right>
      <top/>
      <bottom style="thin">
        <color rgb="FF46455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464555"/>
      </bottom>
      <diagonal/>
    </border>
    <border>
      <left style="thin">
        <color theme="0"/>
      </left>
      <right style="thin">
        <color rgb="FF464555"/>
      </right>
      <top style="thin">
        <color theme="0"/>
      </top>
      <bottom style="thin">
        <color rgb="FF464555"/>
      </bottom>
      <diagonal/>
    </border>
    <border>
      <left style="thin">
        <color rgb="FF464555"/>
      </left>
      <right/>
      <top/>
      <bottom style="thin">
        <color rgb="FF464555"/>
      </bottom>
      <diagonal/>
    </border>
    <border>
      <left style="thin">
        <color rgb="FF464555"/>
      </left>
      <right/>
      <top style="thin">
        <color rgb="FF464555"/>
      </top>
      <bottom style="thin">
        <color rgb="FF464555"/>
      </bottom>
      <diagonal/>
    </border>
    <border>
      <left style="thin">
        <color rgb="FF464555"/>
      </left>
      <right/>
      <top style="thin">
        <color rgb="FF464555"/>
      </top>
      <bottom/>
      <diagonal/>
    </border>
    <border>
      <left style="thin">
        <color rgb="FF464555"/>
      </left>
      <right style="thin">
        <color theme="0"/>
      </right>
      <top style="thin">
        <color rgb="FF464555"/>
      </top>
      <bottom style="thin">
        <color rgb="FF464555"/>
      </bottom>
      <diagonal/>
    </border>
    <border>
      <left style="thin">
        <color theme="0"/>
      </left>
      <right style="thin">
        <color theme="0"/>
      </right>
      <top/>
      <bottom style="thin">
        <color rgb="FF464555"/>
      </bottom>
      <diagonal/>
    </border>
    <border>
      <left/>
      <right style="thin">
        <color rgb="FF464555"/>
      </right>
      <top/>
      <bottom style="thin">
        <color rgb="FF464555"/>
      </bottom>
      <diagonal/>
    </border>
    <border>
      <left style="thin">
        <color theme="0"/>
      </left>
      <right style="thin">
        <color theme="0"/>
      </right>
      <top style="thin">
        <color rgb="FF464555"/>
      </top>
      <bottom style="thin">
        <color theme="0"/>
      </bottom>
      <diagonal/>
    </border>
    <border>
      <left style="thin">
        <color rgb="FFFF5757"/>
      </left>
      <right style="thin">
        <color theme="0"/>
      </right>
      <top style="thin">
        <color rgb="FFFF5757"/>
      </top>
      <bottom style="thin">
        <color rgb="FFFF5757"/>
      </bottom>
      <diagonal/>
    </border>
    <border>
      <left style="thin">
        <color theme="0"/>
      </left>
      <right style="thin">
        <color theme="0"/>
      </right>
      <top style="thin">
        <color rgb="FFFF5757"/>
      </top>
      <bottom style="thin">
        <color rgb="FFFF5757"/>
      </bottom>
      <diagonal/>
    </border>
    <border>
      <left/>
      <right style="thin">
        <color rgb="FFFF5757"/>
      </right>
      <top style="thin">
        <color rgb="FFFF5757"/>
      </top>
      <bottom style="thin">
        <color rgb="FFFF5757"/>
      </bottom>
      <diagonal/>
    </border>
    <border>
      <left/>
      <right style="thin">
        <color rgb="FFFF5757"/>
      </right>
      <top/>
      <bottom style="thin">
        <color rgb="FFFF5757"/>
      </bottom>
      <diagonal/>
    </border>
    <border>
      <left style="thin">
        <color rgb="FF464555"/>
      </left>
      <right/>
      <top/>
      <bottom style="thin">
        <color rgb="FF0084FF"/>
      </bottom>
      <diagonal/>
    </border>
    <border>
      <left/>
      <right/>
      <top/>
      <bottom style="thin">
        <color rgb="FF7ED957"/>
      </bottom>
      <diagonal/>
    </border>
    <border>
      <left style="thin">
        <color rgb="FFFF5757"/>
      </left>
      <right style="thin">
        <color rgb="FFFF5757"/>
      </right>
      <top style="thin">
        <color rgb="FFFF5757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2">
    <xf numFmtId="0" fontId="0" fillId="0" borderId="0" xfId="0"/>
    <xf numFmtId="0" fontId="0" fillId="0" borderId="0" xfId="0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 indent="1"/>
    </xf>
    <xf numFmtId="165" fontId="4" fillId="5" borderId="1" xfId="0" applyNumberFormat="1" applyFont="1" applyFill="1" applyBorder="1" applyAlignment="1">
      <alignment horizontal="left" vertical="center" indent="1"/>
    </xf>
    <xf numFmtId="0" fontId="0" fillId="7" borderId="0" xfId="0" applyFill="1" applyAlignment="1">
      <alignment vertical="center"/>
    </xf>
    <xf numFmtId="14" fontId="3" fillId="7" borderId="0" xfId="0" applyNumberFormat="1" applyFont="1" applyFill="1" applyAlignment="1">
      <alignment vertical="center"/>
    </xf>
    <xf numFmtId="0" fontId="2" fillId="7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2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6" xfId="0" applyFill="1" applyBorder="1" applyAlignment="1">
      <alignment horizontal="left" vertical="center" indent="1"/>
    </xf>
    <xf numFmtId="165" fontId="0" fillId="7" borderId="6" xfId="0" applyNumberFormat="1" applyFill="1" applyBorder="1" applyAlignment="1">
      <alignment horizontal="right" vertical="center"/>
    </xf>
    <xf numFmtId="10" fontId="0" fillId="5" borderId="6" xfId="0" applyNumberFormat="1" applyFill="1" applyBorder="1" applyAlignment="1">
      <alignment vertical="center"/>
    </xf>
    <xf numFmtId="0" fontId="0" fillId="4" borderId="0" xfId="0" applyFill="1" applyAlignment="1">
      <alignment vertical="center"/>
    </xf>
    <xf numFmtId="0" fontId="10" fillId="4" borderId="0" xfId="0" applyFont="1" applyFill="1" applyAlignment="1">
      <alignment horizontal="center" vertical="center"/>
    </xf>
    <xf numFmtId="0" fontId="0" fillId="5" borderId="6" xfId="0" applyFill="1" applyBorder="1" applyAlignment="1">
      <alignment vertical="center"/>
    </xf>
    <xf numFmtId="0" fontId="13" fillId="4" borderId="0" xfId="0" applyFont="1" applyFill="1" applyAlignment="1">
      <alignment horizontal="center" vertical="center"/>
    </xf>
    <xf numFmtId="0" fontId="18" fillId="4" borderId="0" xfId="0" applyFont="1" applyFill="1" applyAlignment="1">
      <alignment vertical="center"/>
    </xf>
    <xf numFmtId="0" fontId="0" fillId="7" borderId="1" xfId="0" applyFill="1" applyBorder="1" applyAlignment="1">
      <alignment horizontal="center" vertical="center"/>
    </xf>
    <xf numFmtId="165" fontId="0" fillId="7" borderId="1" xfId="0" applyNumberFormat="1" applyFill="1" applyBorder="1" applyAlignment="1">
      <alignment vertical="center"/>
    </xf>
    <xf numFmtId="14" fontId="0" fillId="7" borderId="1" xfId="0" applyNumberFormat="1" applyFill="1" applyBorder="1" applyAlignment="1">
      <alignment horizontal="center" vertical="center"/>
    </xf>
    <xf numFmtId="0" fontId="19" fillId="4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11" fillId="6" borderId="0" xfId="0" applyFont="1" applyFill="1" applyAlignment="1">
      <alignment horizontal="left" vertical="center" indent="2"/>
    </xf>
    <xf numFmtId="10" fontId="0" fillId="8" borderId="6" xfId="0" applyNumberFormat="1" applyFill="1" applyBorder="1" applyAlignment="1">
      <alignment vertical="center"/>
    </xf>
    <xf numFmtId="0" fontId="0" fillId="8" borderId="6" xfId="0" applyFill="1" applyBorder="1" applyAlignment="1">
      <alignment vertical="center"/>
    </xf>
    <xf numFmtId="0" fontId="20" fillId="7" borderId="7" xfId="0" applyFont="1" applyFill="1" applyBorder="1" applyAlignment="1">
      <alignment horizontal="center" vertical="center"/>
    </xf>
    <xf numFmtId="14" fontId="0" fillId="7" borderId="0" xfId="0" applyNumberFormat="1" applyFill="1" applyAlignment="1">
      <alignment vertical="center"/>
    </xf>
    <xf numFmtId="165" fontId="0" fillId="8" borderId="6" xfId="0" applyNumberFormat="1" applyFill="1" applyBorder="1" applyAlignment="1">
      <alignment horizontal="right" vertical="center"/>
    </xf>
    <xf numFmtId="14" fontId="0" fillId="0" borderId="0" xfId="0" applyNumberFormat="1" applyAlignment="1">
      <alignment vertical="center"/>
    </xf>
    <xf numFmtId="0" fontId="0" fillId="3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11" fillId="3" borderId="0" xfId="0" applyFont="1" applyFill="1" applyAlignment="1">
      <alignment horizontal="left" vertical="center" indent="2"/>
    </xf>
    <xf numFmtId="0" fontId="0" fillId="5" borderId="1" xfId="0" applyFill="1" applyBorder="1" applyAlignment="1">
      <alignment horizontal="left" vertical="center" indent="1"/>
    </xf>
    <xf numFmtId="0" fontId="0" fillId="8" borderId="1" xfId="0" applyFill="1" applyBorder="1" applyAlignment="1">
      <alignment horizontal="left" vertical="center" indent="1"/>
    </xf>
    <xf numFmtId="0" fontId="0" fillId="8" borderId="11" xfId="0" applyFill="1" applyBorder="1" applyAlignment="1">
      <alignment horizontal="left" vertical="center" indent="1"/>
    </xf>
    <xf numFmtId="165" fontId="0" fillId="8" borderId="11" xfId="0" applyNumberFormat="1" applyFill="1" applyBorder="1" applyAlignment="1">
      <alignment horizontal="left" vertical="center" indent="1"/>
    </xf>
    <xf numFmtId="165" fontId="2" fillId="8" borderId="11" xfId="0" applyNumberFormat="1" applyFont="1" applyFill="1" applyBorder="1" applyAlignment="1">
      <alignment horizontal="left" vertical="center" indent="1"/>
    </xf>
    <xf numFmtId="0" fontId="0" fillId="5" borderId="11" xfId="0" applyFill="1" applyBorder="1" applyAlignment="1">
      <alignment horizontal="left" vertical="center" indent="1"/>
    </xf>
    <xf numFmtId="165" fontId="0" fillId="5" borderId="11" xfId="0" applyNumberFormat="1" applyFill="1" applyBorder="1" applyAlignment="1">
      <alignment horizontal="left" vertical="center" indent="1"/>
    </xf>
    <xf numFmtId="165" fontId="2" fillId="5" borderId="11" xfId="0" applyNumberFormat="1" applyFont="1" applyFill="1" applyBorder="1" applyAlignment="1">
      <alignment horizontal="left" vertical="center" indent="1"/>
    </xf>
    <xf numFmtId="0" fontId="5" fillId="2" borderId="12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0" fillId="7" borderId="5" xfId="0" applyFill="1" applyBorder="1" applyAlignment="1">
      <alignment vertical="center"/>
    </xf>
    <xf numFmtId="0" fontId="23" fillId="7" borderId="0" xfId="0" applyFont="1" applyFill="1" applyAlignment="1">
      <alignment vertical="center"/>
    </xf>
    <xf numFmtId="0" fontId="3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0" fillId="7" borderId="9" xfId="0" applyFill="1" applyBorder="1" applyAlignment="1">
      <alignment vertical="center"/>
    </xf>
    <xf numFmtId="0" fontId="0" fillId="7" borderId="0" xfId="0" applyFill="1" applyAlignment="1">
      <alignment horizontal="center" vertical="center"/>
    </xf>
    <xf numFmtId="168" fontId="5" fillId="2" borderId="17" xfId="0" applyNumberFormat="1" applyFont="1" applyFill="1" applyBorder="1" applyAlignment="1">
      <alignment horizontal="center" vertical="center"/>
    </xf>
    <xf numFmtId="168" fontId="5" fillId="2" borderId="21" xfId="0" applyNumberFormat="1" applyFont="1" applyFill="1" applyBorder="1" applyAlignment="1">
      <alignment horizontal="center" vertical="center"/>
    </xf>
    <xf numFmtId="165" fontId="0" fillId="5" borderId="11" xfId="0" applyNumberFormat="1" applyFill="1" applyBorder="1" applyAlignment="1">
      <alignment horizontal="left" vertical="center"/>
    </xf>
    <xf numFmtId="165" fontId="5" fillId="2" borderId="1" xfId="0" applyNumberFormat="1" applyFont="1" applyFill="1" applyBorder="1" applyAlignment="1">
      <alignment horizontal="center" vertical="center"/>
    </xf>
    <xf numFmtId="165" fontId="5" fillId="6" borderId="1" xfId="0" applyNumberFormat="1" applyFont="1" applyFill="1" applyBorder="1" applyAlignment="1">
      <alignment horizontal="center" vertical="center"/>
    </xf>
    <xf numFmtId="168" fontId="5" fillId="6" borderId="17" xfId="0" applyNumberFormat="1" applyFont="1" applyFill="1" applyBorder="1" applyAlignment="1">
      <alignment horizontal="center" vertical="center"/>
    </xf>
    <xf numFmtId="168" fontId="5" fillId="6" borderId="31" xfId="0" applyNumberFormat="1" applyFont="1" applyFill="1" applyBorder="1" applyAlignment="1">
      <alignment horizontal="center" vertical="center"/>
    </xf>
    <xf numFmtId="165" fontId="0" fillId="8" borderId="11" xfId="0" applyNumberFormat="1" applyFill="1" applyBorder="1" applyAlignment="1">
      <alignment horizontal="left" vertical="center"/>
    </xf>
    <xf numFmtId="0" fontId="24" fillId="7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167" fontId="12" fillId="3" borderId="0" xfId="0" applyNumberFormat="1" applyFont="1" applyFill="1" applyAlignment="1">
      <alignment horizontal="center" vertical="center"/>
    </xf>
    <xf numFmtId="14" fontId="23" fillId="7" borderId="0" xfId="0" applyNumberFormat="1" applyFont="1" applyFill="1" applyAlignment="1">
      <alignment horizontal="center" vertical="center"/>
    </xf>
    <xf numFmtId="14" fontId="23" fillId="0" borderId="0" xfId="0" applyNumberFormat="1" applyFont="1" applyAlignment="1">
      <alignment horizontal="left" vertical="center"/>
    </xf>
    <xf numFmtId="0" fontId="24" fillId="7" borderId="0" xfId="0" applyFont="1" applyFill="1" applyAlignment="1">
      <alignment horizontal="center" vertical="center"/>
    </xf>
    <xf numFmtId="0" fontId="24" fillId="7" borderId="0" xfId="0" applyFont="1" applyFill="1" applyAlignment="1">
      <alignment vertical="center"/>
    </xf>
    <xf numFmtId="0" fontId="5" fillId="2" borderId="1" xfId="0" applyFont="1" applyFill="1" applyBorder="1" applyAlignment="1">
      <alignment horizontal="right" vertical="center" indent="1"/>
    </xf>
    <xf numFmtId="0" fontId="2" fillId="5" borderId="1" xfId="0" applyFont="1" applyFill="1" applyBorder="1" applyAlignment="1">
      <alignment horizontal="right" vertical="center" indent="1"/>
    </xf>
    <xf numFmtId="0" fontId="5" fillId="6" borderId="1" xfId="0" applyFont="1" applyFill="1" applyBorder="1" applyAlignment="1">
      <alignment horizontal="right" vertical="center" indent="1"/>
    </xf>
    <xf numFmtId="0" fontId="2" fillId="8" borderId="1" xfId="0" applyFont="1" applyFill="1" applyBorder="1" applyAlignment="1">
      <alignment horizontal="right" vertical="center" indent="1"/>
    </xf>
    <xf numFmtId="170" fontId="5" fillId="2" borderId="13" xfId="0" applyNumberFormat="1" applyFont="1" applyFill="1" applyBorder="1" applyAlignment="1">
      <alignment horizontal="center" vertical="center"/>
    </xf>
    <xf numFmtId="170" fontId="5" fillId="2" borderId="33" xfId="0" applyNumberFormat="1" applyFont="1" applyFill="1" applyBorder="1" applyAlignment="1">
      <alignment horizontal="center" vertical="center"/>
    </xf>
    <xf numFmtId="170" fontId="5" fillId="6" borderId="27" xfId="0" applyNumberFormat="1" applyFont="1" applyFill="1" applyBorder="1" applyAlignment="1">
      <alignment horizontal="center" vertical="center"/>
    </xf>
    <xf numFmtId="168" fontId="5" fillId="3" borderId="17" xfId="0" applyNumberFormat="1" applyFont="1" applyFill="1" applyBorder="1" applyAlignment="1">
      <alignment horizontal="center" vertical="center"/>
    </xf>
    <xf numFmtId="168" fontId="5" fillId="3" borderId="38" xfId="0" applyNumberFormat="1" applyFont="1" applyFill="1" applyBorder="1" applyAlignment="1">
      <alignment horizontal="center" vertical="center"/>
    </xf>
    <xf numFmtId="170" fontId="5" fillId="3" borderId="40" xfId="0" applyNumberFormat="1" applyFont="1" applyFill="1" applyBorder="1" applyAlignment="1">
      <alignment horizontal="center" vertical="center"/>
    </xf>
    <xf numFmtId="170" fontId="5" fillId="3" borderId="41" xfId="0" applyNumberFormat="1" applyFont="1" applyFill="1" applyBorder="1" applyAlignment="1">
      <alignment horizontal="center" vertical="center"/>
    </xf>
    <xf numFmtId="0" fontId="28" fillId="10" borderId="1" xfId="0" applyFont="1" applyFill="1" applyBorder="1" applyAlignment="1">
      <alignment horizontal="left" vertical="center" indent="1"/>
    </xf>
    <xf numFmtId="165" fontId="28" fillId="10" borderId="1" xfId="0" applyNumberFormat="1" applyFont="1" applyFill="1" applyBorder="1" applyAlignment="1">
      <alignment horizontal="left" vertical="center"/>
    </xf>
    <xf numFmtId="0" fontId="28" fillId="3" borderId="1" xfId="0" applyFont="1" applyFill="1" applyBorder="1" applyAlignment="1">
      <alignment horizontal="left" vertical="center" indent="1"/>
    </xf>
    <xf numFmtId="0" fontId="28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left" vertical="center" indent="1"/>
    </xf>
    <xf numFmtId="165" fontId="16" fillId="9" borderId="1" xfId="0" applyNumberFormat="1" applyFont="1" applyFill="1" applyBorder="1" applyAlignment="1">
      <alignment horizontal="left" vertical="center"/>
    </xf>
    <xf numFmtId="0" fontId="0" fillId="7" borderId="5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4" fontId="3" fillId="7" borderId="0" xfId="0" applyNumberFormat="1" applyFont="1" applyFill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10" fontId="4" fillId="5" borderId="1" xfId="0" applyNumberFormat="1" applyFont="1" applyFill="1" applyBorder="1" applyAlignment="1">
      <alignment horizontal="center" vertical="center"/>
    </xf>
    <xf numFmtId="165" fontId="0" fillId="7" borderId="0" xfId="0" applyNumberFormat="1" applyFill="1" applyAlignment="1">
      <alignment vertical="center"/>
    </xf>
    <xf numFmtId="0" fontId="10" fillId="4" borderId="44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169" fontId="2" fillId="5" borderId="44" xfId="0" applyNumberFormat="1" applyFont="1" applyFill="1" applyBorder="1" applyAlignment="1">
      <alignment horizontal="left" vertical="center" indent="1"/>
    </xf>
    <xf numFmtId="10" fontId="0" fillId="7" borderId="44" xfId="0" applyNumberFormat="1" applyFill="1" applyBorder="1" applyAlignment="1">
      <alignment horizontal="center" vertical="center"/>
    </xf>
    <xf numFmtId="165" fontId="0" fillId="5" borderId="6" xfId="0" applyNumberFormat="1" applyFill="1" applyBorder="1" applyAlignment="1">
      <alignment horizontal="left" vertical="center" indent="1"/>
    </xf>
    <xf numFmtId="169" fontId="2" fillId="5" borderId="43" xfId="0" applyNumberFormat="1" applyFont="1" applyFill="1" applyBorder="1" applyAlignment="1">
      <alignment horizontal="left" vertical="center" indent="1"/>
    </xf>
    <xf numFmtId="10" fontId="0" fillId="7" borderId="43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left" vertical="center" indent="1"/>
    </xf>
    <xf numFmtId="0" fontId="3" fillId="7" borderId="0" xfId="0" applyFont="1" applyFill="1" applyAlignment="1">
      <alignment horizontal="right" vertical="center"/>
    </xf>
    <xf numFmtId="165" fontId="3" fillId="7" borderId="0" xfId="0" applyNumberFormat="1" applyFont="1" applyFill="1" applyAlignment="1">
      <alignment horizontal="center" vertical="center"/>
    </xf>
    <xf numFmtId="10" fontId="3" fillId="7" borderId="0" xfId="0" applyNumberFormat="1" applyFont="1" applyFill="1" applyAlignment="1">
      <alignment horizontal="right" vertical="center"/>
    </xf>
    <xf numFmtId="0" fontId="5" fillId="6" borderId="25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 indent="1"/>
    </xf>
    <xf numFmtId="165" fontId="0" fillId="5" borderId="1" xfId="0" applyNumberForma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left" vertical="center" indent="1"/>
    </xf>
    <xf numFmtId="165" fontId="0" fillId="8" borderId="1" xfId="0" applyNumberForma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left" vertical="center" indent="1"/>
    </xf>
    <xf numFmtId="165" fontId="2" fillId="0" borderId="1" xfId="0" applyNumberFormat="1" applyFont="1" applyBorder="1" applyAlignment="1">
      <alignment horizontal="center" vertical="center"/>
    </xf>
    <xf numFmtId="0" fontId="14" fillId="3" borderId="1" xfId="0" applyFont="1" applyFill="1" applyBorder="1" applyAlignment="1">
      <alignment horizontal="left" vertical="center" indent="1"/>
    </xf>
    <xf numFmtId="165" fontId="16" fillId="4" borderId="1" xfId="0" applyNumberFormat="1" applyFont="1" applyFill="1" applyBorder="1" applyAlignment="1">
      <alignment horizontal="center" vertical="center"/>
    </xf>
    <xf numFmtId="170" fontId="5" fillId="3" borderId="46" xfId="0" applyNumberFormat="1" applyFont="1" applyFill="1" applyBorder="1" applyAlignment="1">
      <alignment horizontal="center" vertical="center"/>
    </xf>
    <xf numFmtId="170" fontId="5" fillId="3" borderId="47" xfId="0" applyNumberFormat="1" applyFont="1" applyFill="1" applyBorder="1" applyAlignment="1">
      <alignment horizontal="center" vertical="center"/>
    </xf>
    <xf numFmtId="168" fontId="5" fillId="3" borderId="48" xfId="0" applyNumberFormat="1" applyFont="1" applyFill="1" applyBorder="1" applyAlignment="1">
      <alignment horizontal="center" vertical="center"/>
    </xf>
    <xf numFmtId="168" fontId="5" fillId="3" borderId="36" xfId="0" applyNumberFormat="1" applyFont="1" applyFill="1" applyBorder="1" applyAlignment="1">
      <alignment horizontal="center" vertical="center"/>
    </xf>
    <xf numFmtId="0" fontId="24" fillId="3" borderId="0" xfId="0" applyFont="1" applyFill="1" applyAlignment="1">
      <alignment horizontal="right" vertical="center"/>
    </xf>
    <xf numFmtId="14" fontId="24" fillId="3" borderId="0" xfId="0" applyNumberFormat="1" applyFont="1" applyFill="1" applyAlignment="1">
      <alignment vertical="center"/>
    </xf>
    <xf numFmtId="0" fontId="0" fillId="7" borderId="24" xfId="0" applyFill="1" applyBorder="1" applyAlignment="1">
      <alignment vertical="center"/>
    </xf>
    <xf numFmtId="14" fontId="23" fillId="7" borderId="24" xfId="0" applyNumberFormat="1" applyFont="1" applyFill="1" applyBorder="1" applyAlignment="1">
      <alignment horizontal="center" vertical="center"/>
    </xf>
    <xf numFmtId="0" fontId="5" fillId="6" borderId="27" xfId="0" applyFont="1" applyFill="1" applyBorder="1" applyAlignment="1">
      <alignment horizontal="center" vertical="center"/>
    </xf>
    <xf numFmtId="0" fontId="5" fillId="6" borderId="52" xfId="0" applyFont="1" applyFill="1" applyBorder="1" applyAlignment="1">
      <alignment horizontal="center" vertical="center"/>
    </xf>
    <xf numFmtId="166" fontId="0" fillId="8" borderId="6" xfId="0" applyNumberFormat="1" applyFill="1" applyBorder="1" applyAlignment="1">
      <alignment horizontal="center" vertical="center"/>
    </xf>
    <xf numFmtId="166" fontId="0" fillId="5" borderId="6" xfId="0" applyNumberFormat="1" applyFill="1" applyBorder="1" applyAlignment="1">
      <alignment horizontal="center" vertical="center"/>
    </xf>
    <xf numFmtId="14" fontId="7" fillId="2" borderId="0" xfId="0" applyNumberFormat="1" applyFont="1" applyFill="1" applyAlignment="1">
      <alignment vertical="center"/>
    </xf>
    <xf numFmtId="14" fontId="5" fillId="2" borderId="3" xfId="0" applyNumberFormat="1" applyFont="1" applyFill="1" applyBorder="1" applyAlignment="1">
      <alignment horizontal="center" vertical="center"/>
    </xf>
    <xf numFmtId="14" fontId="7" fillId="6" borderId="0" xfId="0" applyNumberFormat="1" applyFont="1" applyFill="1" applyAlignment="1">
      <alignment vertical="center"/>
    </xf>
    <xf numFmtId="14" fontId="0" fillId="7" borderId="24" xfId="0" applyNumberFormat="1" applyFill="1" applyBorder="1" applyAlignment="1">
      <alignment vertical="center"/>
    </xf>
    <xf numFmtId="167" fontId="13" fillId="0" borderId="1" xfId="0" applyNumberFormat="1" applyFont="1" applyBorder="1" applyAlignment="1">
      <alignment horizontal="center" vertical="center"/>
    </xf>
    <xf numFmtId="9" fontId="0" fillId="7" borderId="0" xfId="0" applyNumberFormat="1" applyFill="1" applyAlignment="1">
      <alignment horizontal="center" vertical="center"/>
    </xf>
    <xf numFmtId="9" fontId="0" fillId="7" borderId="0" xfId="1" applyFont="1" applyFill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4" fontId="0" fillId="7" borderId="0" xfId="1" applyNumberFormat="1" applyFont="1" applyFill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56" xfId="0" applyBorder="1" applyAlignment="1">
      <alignment horizontal="left" vertical="center" indent="1"/>
    </xf>
    <xf numFmtId="166" fontId="0" fillId="7" borderId="6" xfId="0" applyNumberFormat="1" applyFill="1" applyBorder="1" applyAlignment="1">
      <alignment horizontal="center" vertical="center"/>
    </xf>
    <xf numFmtId="0" fontId="0" fillId="7" borderId="0" xfId="0" applyFill="1" applyAlignment="1" applyProtection="1">
      <alignment vertical="center"/>
      <protection locked="0"/>
    </xf>
    <xf numFmtId="14" fontId="5" fillId="6" borderId="49" xfId="0" applyNumberFormat="1" applyFont="1" applyFill="1" applyBorder="1" applyAlignment="1" applyProtection="1">
      <alignment horizontal="center" vertical="center"/>
      <protection locked="0"/>
    </xf>
    <xf numFmtId="0" fontId="5" fillId="6" borderId="50" xfId="0" applyFont="1" applyFill="1" applyBorder="1" applyAlignment="1" applyProtection="1">
      <alignment horizontal="center" vertical="center"/>
      <protection locked="0"/>
    </xf>
    <xf numFmtId="0" fontId="5" fillId="6" borderId="5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7" fontId="0" fillId="7" borderId="6" xfId="0" applyNumberFormat="1" applyFill="1" applyBorder="1" applyAlignment="1">
      <alignment vertical="center"/>
    </xf>
    <xf numFmtId="16" fontId="0" fillId="4" borderId="0" xfId="0" applyNumberFormat="1" applyFill="1" applyAlignment="1">
      <alignment vertical="center"/>
    </xf>
    <xf numFmtId="4" fontId="0" fillId="7" borderId="1" xfId="0" applyNumberFormat="1" applyFill="1" applyBorder="1" applyAlignment="1">
      <alignment horizontal="left" vertical="center" wrapText="1"/>
    </xf>
    <xf numFmtId="6" fontId="0" fillId="7" borderId="1" xfId="0" applyNumberFormat="1" applyFill="1" applyBorder="1" applyAlignment="1">
      <alignment horizontal="left" vertical="center" wrapText="1"/>
    </xf>
    <xf numFmtId="7" fontId="0" fillId="7" borderId="6" xfId="0" applyNumberFormat="1" applyFill="1" applyBorder="1" applyAlignment="1">
      <alignment horizontal="left" vertical="center" indent="1"/>
    </xf>
    <xf numFmtId="0" fontId="5" fillId="3" borderId="42" xfId="0" applyFont="1" applyFill="1" applyBorder="1" applyAlignment="1">
      <alignment horizontal="center" vertical="center"/>
    </xf>
    <xf numFmtId="0" fontId="5" fillId="3" borderId="32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165" fontId="12" fillId="2" borderId="0" xfId="0" applyNumberFormat="1" applyFont="1" applyFill="1" applyAlignment="1">
      <alignment horizontal="right" vertical="center"/>
    </xf>
    <xf numFmtId="0" fontId="15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right" vertical="center"/>
    </xf>
    <xf numFmtId="0" fontId="16" fillId="7" borderId="0" xfId="0" applyFont="1" applyFill="1" applyAlignment="1">
      <alignment horizontal="left" vertical="center"/>
    </xf>
    <xf numFmtId="0" fontId="17" fillId="7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165" fontId="27" fillId="5" borderId="0" xfId="0" applyNumberFormat="1" applyFont="1" applyFill="1" applyAlignment="1">
      <alignment horizontal="right" vertical="center"/>
    </xf>
    <xf numFmtId="0" fontId="21" fillId="8" borderId="0" xfId="0" applyFont="1" applyFill="1" applyAlignment="1">
      <alignment horizontal="center" vertical="center"/>
    </xf>
    <xf numFmtId="165" fontId="22" fillId="8" borderId="0" xfId="0" applyNumberFormat="1" applyFont="1" applyFill="1" applyAlignment="1">
      <alignment horizontal="right" vertical="center"/>
    </xf>
    <xf numFmtId="165" fontId="12" fillId="6" borderId="0" xfId="0" applyNumberFormat="1" applyFont="1" applyFill="1" applyAlignment="1">
      <alignment horizontal="right" vertical="center"/>
    </xf>
    <xf numFmtId="0" fontId="15" fillId="6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right" vertical="center"/>
    </xf>
    <xf numFmtId="0" fontId="5" fillId="6" borderId="0" xfId="0" applyFont="1" applyFill="1" applyAlignment="1">
      <alignment horizontal="center" vertical="center"/>
    </xf>
    <xf numFmtId="0" fontId="25" fillId="7" borderId="0" xfId="0" applyFont="1" applyFill="1" applyAlignment="1">
      <alignment horizontal="center" vertical="center" wrapText="1"/>
    </xf>
    <xf numFmtId="165" fontId="24" fillId="7" borderId="0" xfId="0" applyNumberFormat="1" applyFont="1" applyFill="1" applyAlignment="1">
      <alignment horizontal="left" vertical="center" indent="1"/>
    </xf>
    <xf numFmtId="0" fontId="11" fillId="2" borderId="10" xfId="0" applyFont="1" applyFill="1" applyBorder="1" applyAlignment="1">
      <alignment horizontal="center" vertical="center"/>
    </xf>
    <xf numFmtId="0" fontId="11" fillId="6" borderId="55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right" vertical="center"/>
    </xf>
    <xf numFmtId="0" fontId="5" fillId="2" borderId="8" xfId="0" applyFont="1" applyFill="1" applyBorder="1" applyAlignment="1">
      <alignment horizontal="center" vertical="center"/>
    </xf>
    <xf numFmtId="165" fontId="12" fillId="2" borderId="53" xfId="0" applyNumberFormat="1" applyFont="1" applyFill="1" applyBorder="1" applyAlignment="1">
      <alignment horizontal="left" vertical="center" indent="1"/>
    </xf>
    <xf numFmtId="165" fontId="12" fillId="2" borderId="15" xfId="0" applyNumberFormat="1" applyFont="1" applyFill="1" applyBorder="1" applyAlignment="1">
      <alignment horizontal="left" vertical="center" indent="1"/>
    </xf>
    <xf numFmtId="165" fontId="12" fillId="6" borderId="24" xfId="0" applyNumberFormat="1" applyFont="1" applyFill="1" applyBorder="1" applyAlignment="1">
      <alignment horizontal="left" vertical="center" indent="1"/>
    </xf>
    <xf numFmtId="0" fontId="14" fillId="3" borderId="0" xfId="0" applyFont="1" applyFill="1" applyAlignment="1">
      <alignment horizontal="center" vertical="center"/>
    </xf>
    <xf numFmtId="165" fontId="12" fillId="3" borderId="32" xfId="0" applyNumberFormat="1" applyFont="1" applyFill="1" applyBorder="1" applyAlignment="1">
      <alignment horizontal="left" vertical="center" indent="1"/>
    </xf>
    <xf numFmtId="0" fontId="10" fillId="9" borderId="0" xfId="0" applyFont="1" applyFill="1" applyAlignment="1">
      <alignment horizontal="center" vertical="center"/>
    </xf>
    <xf numFmtId="165" fontId="13" fillId="9" borderId="54" xfId="0" applyNumberFormat="1" applyFont="1" applyFill="1" applyBorder="1" applyAlignment="1">
      <alignment horizontal="left" vertical="center" indent="1"/>
    </xf>
    <xf numFmtId="0" fontId="11" fillId="3" borderId="34" xfId="0" applyFont="1" applyFill="1" applyBorder="1" applyAlignment="1">
      <alignment horizontal="center" vertical="center"/>
    </xf>
    <xf numFmtId="0" fontId="11" fillId="3" borderId="35" xfId="0" applyFont="1" applyFill="1" applyBorder="1" applyAlignment="1">
      <alignment horizontal="center" vertical="center"/>
    </xf>
    <xf numFmtId="0" fontId="11" fillId="3" borderId="36" xfId="0" applyFont="1" applyFill="1" applyBorder="1" applyAlignment="1">
      <alignment horizontal="center" vertical="center"/>
    </xf>
    <xf numFmtId="0" fontId="5" fillId="3" borderId="37" xfId="0" applyFont="1" applyFill="1" applyBorder="1" applyAlignment="1">
      <alignment horizontal="center" vertical="center"/>
    </xf>
    <xf numFmtId="0" fontId="5" fillId="3" borderId="39" xfId="0" applyFont="1" applyFill="1" applyBorder="1" applyAlignment="1">
      <alignment horizontal="center" vertical="center"/>
    </xf>
    <xf numFmtId="0" fontId="5" fillId="6" borderId="26" xfId="0" applyFont="1" applyFill="1" applyBorder="1" applyAlignment="1">
      <alignment horizontal="center" vertical="center"/>
    </xf>
    <xf numFmtId="0" fontId="5" fillId="6" borderId="25" xfId="0" applyFont="1" applyFill="1" applyBorder="1" applyAlignment="1">
      <alignment horizontal="center" vertical="center"/>
    </xf>
    <xf numFmtId="165" fontId="12" fillId="2" borderId="0" xfId="0" applyNumberFormat="1" applyFont="1" applyFill="1" applyAlignment="1">
      <alignment horizontal="center" vertical="center"/>
    </xf>
    <xf numFmtId="165" fontId="12" fillId="6" borderId="0" xfId="0" applyNumberFormat="1" applyFont="1" applyFill="1" applyAlignment="1">
      <alignment horizontal="center" vertical="center"/>
    </xf>
    <xf numFmtId="165" fontId="13" fillId="9" borderId="0" xfId="0" applyNumberFormat="1" applyFont="1" applyFill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1" fillId="2" borderId="19" xfId="0" applyFont="1" applyFill="1" applyBorder="1" applyAlignment="1">
      <alignment horizontal="center" vertical="center"/>
    </xf>
    <xf numFmtId="0" fontId="11" fillId="2" borderId="20" xfId="0" applyFont="1" applyFill="1" applyBorder="1" applyAlignment="1">
      <alignment horizontal="center" vertical="center"/>
    </xf>
    <xf numFmtId="0" fontId="11" fillId="6" borderId="28" xfId="0" applyFont="1" applyFill="1" applyBorder="1" applyAlignment="1">
      <alignment horizontal="center" vertical="center"/>
    </xf>
    <xf numFmtId="0" fontId="11" fillId="6" borderId="29" xfId="0" applyFont="1" applyFill="1" applyBorder="1" applyAlignment="1">
      <alignment horizontal="center" vertical="center"/>
    </xf>
    <xf numFmtId="0" fontId="11" fillId="6" borderId="30" xfId="0" applyFont="1" applyFill="1" applyBorder="1" applyAlignment="1">
      <alignment horizontal="center" vertical="center"/>
    </xf>
    <xf numFmtId="165" fontId="22" fillId="8" borderId="0" xfId="0" applyNumberFormat="1" applyFont="1" applyFill="1" applyAlignment="1">
      <alignment horizontal="center" vertical="center"/>
    </xf>
    <xf numFmtId="165" fontId="27" fillId="5" borderId="0" xfId="0" applyNumberFormat="1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165" fontId="12" fillId="10" borderId="0" xfId="0" applyNumberFormat="1" applyFont="1" applyFill="1" applyAlignment="1">
      <alignment horizontal="center" vertical="center"/>
    </xf>
    <xf numFmtId="0" fontId="5" fillId="3" borderId="45" xfId="0" applyFont="1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120">
    <dxf>
      <font>
        <b/>
        <i val="0"/>
        <color rgb="FF464555"/>
      </font>
      <fill>
        <patternFill>
          <bgColor rgb="FF7ED957"/>
        </patternFill>
      </fill>
    </dxf>
    <dxf>
      <font>
        <b/>
        <i val="0"/>
        <color theme="0"/>
      </font>
      <fill>
        <patternFill>
          <bgColor rgb="FFFF5757"/>
        </patternFill>
      </fill>
    </dxf>
    <dxf>
      <font>
        <b/>
        <i val="0"/>
      </font>
      <fill>
        <patternFill>
          <bgColor theme="2"/>
        </patternFill>
      </fill>
    </dxf>
    <dxf>
      <numFmt numFmtId="171" formatCode="_-[$$-540A]* #,##0.00_ ;_-[$$-540A]* \-#,##0.00\ ;_-[$$-540A]* &quot;-&quot;??_ ;_-@_ "/>
    </dxf>
    <dxf>
      <numFmt numFmtId="172" formatCode="_-[$€-2]\ * #,##0.00_-;\-[$€-2]\ * #,##0.00_-;_-[$€-2]\ * &quot;-&quot;??_-;_-@_-"/>
    </dxf>
    <dxf>
      <numFmt numFmtId="173" formatCode="_-[$Bs-400A]* #,##0.00_-;\-[$Bs-400A]* #,##0.00_-;_-[$Bs-400A]* &quot;-&quot;??_-;_-@_-"/>
    </dxf>
    <dxf>
      <numFmt numFmtId="174" formatCode="_-[$S/-280A]\ * #,##0.00_-;\-[$S/-280A]\ * #,##0.00_-;_-[$S/-280A]\ * &quot;-&quot;??_-;_-@_-"/>
    </dxf>
    <dxf>
      <numFmt numFmtId="165" formatCode="_(&quot;$&quot;* #,##0.00_);_(&quot;$&quot;* \(#,##0.00\);_(&quot;$&quot;* &quot;-&quot;??_);_(@_)"/>
    </dxf>
    <dxf>
      <font>
        <b/>
        <i val="0"/>
        <color theme="0"/>
      </font>
      <fill>
        <patternFill>
          <bgColor rgb="FFFF5757"/>
        </patternFill>
      </fill>
    </dxf>
    <dxf>
      <font>
        <b/>
        <i val="0"/>
        <color theme="0"/>
      </font>
      <fill>
        <patternFill>
          <bgColor rgb="FF0084FF"/>
        </patternFill>
      </fill>
    </dxf>
    <dxf>
      <font>
        <b/>
        <i val="0"/>
        <color theme="0"/>
      </font>
      <fill>
        <patternFill>
          <bgColor rgb="FFFF5757"/>
        </patternFill>
      </fill>
    </dxf>
    <dxf>
      <font>
        <b/>
        <i val="0"/>
        <color theme="0"/>
      </font>
      <fill>
        <patternFill>
          <bgColor rgb="FF0084FF"/>
        </patternFill>
      </fill>
    </dxf>
    <dxf>
      <numFmt numFmtId="171" formatCode="_-[$$-540A]* #,##0.00_ ;_-[$$-540A]* \-#,##0.00\ ;_-[$$-540A]* &quot;-&quot;??_ ;_-@_ "/>
    </dxf>
    <dxf>
      <numFmt numFmtId="172" formatCode="_-[$€-2]\ * #,##0.00_-;\-[$€-2]\ * #,##0.00_-;_-[$€-2]\ * &quot;-&quot;??_-;_-@_-"/>
    </dxf>
    <dxf>
      <numFmt numFmtId="173" formatCode="_-[$Bs-400A]* #,##0.00_-;\-[$Bs-400A]* #,##0.00_-;_-[$Bs-400A]* &quot;-&quot;??_-;_-@_-"/>
    </dxf>
    <dxf>
      <numFmt numFmtId="174" formatCode="_-[$S/-280A]\ * #,##0.00_-;\-[$S/-280A]\ * #,##0.00_-;_-[$S/-280A]\ * &quot;-&quot;??_-;_-@_-"/>
    </dxf>
    <dxf>
      <numFmt numFmtId="165" formatCode="_(&quot;$&quot;* #,##0.00_);_(&quot;$&quot;* \(#,##0.00\);_(&quot;$&quot;* &quot;-&quot;??_);_(@_)"/>
    </dxf>
    <dxf>
      <numFmt numFmtId="171" formatCode="_-[$$-540A]* #,##0.00_ ;_-[$$-540A]* \-#,##0.00\ ;_-[$$-540A]* &quot;-&quot;??_ ;_-@_ "/>
    </dxf>
    <dxf>
      <numFmt numFmtId="172" formatCode="_-[$€-2]\ * #,##0.00_-;\-[$€-2]\ * #,##0.00_-;_-[$€-2]\ * &quot;-&quot;??_-;_-@_-"/>
    </dxf>
    <dxf>
      <numFmt numFmtId="173" formatCode="_-[$Bs-400A]* #,##0.00_-;\-[$Bs-400A]* #,##0.00_-;_-[$Bs-400A]* &quot;-&quot;??_-;_-@_-"/>
    </dxf>
    <dxf>
      <numFmt numFmtId="174" formatCode="_-[$S/-280A]\ * #,##0.00_-;\-[$S/-280A]\ * #,##0.00_-;_-[$S/-280A]\ * &quot;-&quot;??_-;_-@_-"/>
    </dxf>
    <dxf>
      <numFmt numFmtId="165" formatCode="_(&quot;$&quot;* #,##0.00_);_(&quot;$&quot;* \(#,##0.00\);_(&quot;$&quot;* &quot;-&quot;??_);_(@_)"/>
    </dxf>
    <dxf>
      <numFmt numFmtId="171" formatCode="_-[$$-540A]* #,##0.00_ ;_-[$$-540A]* \-#,##0.00\ ;_-[$$-540A]* &quot;-&quot;??_ ;_-@_ "/>
    </dxf>
    <dxf>
      <numFmt numFmtId="172" formatCode="_-[$€-2]\ * #,##0.00_-;\-[$€-2]\ * #,##0.00_-;_-[$€-2]\ * &quot;-&quot;??_-;_-@_-"/>
    </dxf>
    <dxf>
      <numFmt numFmtId="173" formatCode="_-[$Bs-400A]* #,##0.00_-;\-[$Bs-400A]* #,##0.00_-;_-[$Bs-400A]* &quot;-&quot;??_-;_-@_-"/>
    </dxf>
    <dxf>
      <numFmt numFmtId="174" formatCode="_-[$S/-280A]\ * #,##0.00_-;\-[$S/-280A]\ * #,##0.00_-;_-[$S/-280A]\ * &quot;-&quot;??_-;_-@_-"/>
    </dxf>
    <dxf>
      <numFmt numFmtId="165" formatCode="_(&quot;$&quot;* #,##0.00_);_(&quot;$&quot;* \(#,##0.00\);_(&quot;$&quot;* &quot;-&quot;??_);_(@_)"/>
    </dxf>
    <dxf>
      <numFmt numFmtId="171" formatCode="_-[$$-540A]* #,##0.00_ ;_-[$$-540A]* \-#,##0.00\ ;_-[$$-540A]* &quot;-&quot;??_ ;_-@_ "/>
    </dxf>
    <dxf>
      <numFmt numFmtId="172" formatCode="_-[$€-2]\ * #,##0.00_-;\-[$€-2]\ * #,##0.00_-;_-[$€-2]\ * &quot;-&quot;??_-;_-@_-"/>
    </dxf>
    <dxf>
      <numFmt numFmtId="173" formatCode="_-[$Bs-400A]* #,##0.00_-;\-[$Bs-400A]* #,##0.00_-;_-[$Bs-400A]* &quot;-&quot;??_-;_-@_-"/>
    </dxf>
    <dxf>
      <numFmt numFmtId="174" formatCode="_-[$S/-280A]\ * #,##0.00_-;\-[$S/-280A]\ * #,##0.00_-;_-[$S/-280A]\ * &quot;-&quot;??_-;_-@_-"/>
    </dxf>
    <dxf>
      <numFmt numFmtId="165" formatCode="_(&quot;$&quot;* #,##0.00_);_(&quot;$&quot;* \(#,##0.00\);_(&quot;$&quot;* &quot;-&quot;??_);_(@_)"/>
    </dxf>
    <dxf>
      <numFmt numFmtId="171" formatCode="_-[$$-540A]* #,##0.00_ ;_-[$$-540A]* \-#,##0.00\ ;_-[$$-540A]* &quot;-&quot;??_ ;_-@_ "/>
    </dxf>
    <dxf>
      <numFmt numFmtId="172" formatCode="_-[$€-2]\ * #,##0.00_-;\-[$€-2]\ * #,##0.00_-;_-[$€-2]\ * &quot;-&quot;??_-;_-@_-"/>
    </dxf>
    <dxf>
      <numFmt numFmtId="173" formatCode="_-[$Bs-400A]* #,##0.00_-;\-[$Bs-400A]* #,##0.00_-;_-[$Bs-400A]* &quot;-&quot;??_-;_-@_-"/>
    </dxf>
    <dxf>
      <numFmt numFmtId="174" formatCode="_-[$S/-280A]\ * #,##0.00_-;\-[$S/-280A]\ * #,##0.00_-;_-[$S/-280A]\ * &quot;-&quot;??_-;_-@_-"/>
    </dxf>
    <dxf>
      <numFmt numFmtId="164" formatCode="_-&quot;$&quot;* #,##0.00_-;\-&quot;$&quot;* #,##0.00_-;_-&quot;$&quot;* &quot;-&quot;??_-;_-@_-"/>
    </dxf>
    <dxf>
      <font>
        <b/>
        <i val="0"/>
        <color theme="0"/>
      </font>
    </dxf>
    <dxf>
      <font>
        <b/>
        <i val="0"/>
        <color rgb="FF7ED957"/>
      </font>
    </dxf>
    <dxf>
      <font>
        <b/>
        <i val="0"/>
        <color rgb="FF464555"/>
      </font>
      <fill>
        <patternFill>
          <bgColor rgb="FF7ED957"/>
        </patternFill>
      </fill>
    </dxf>
    <dxf>
      <font>
        <b/>
        <i val="0"/>
        <color theme="0"/>
      </font>
      <fill>
        <patternFill>
          <bgColor rgb="FFFF5757"/>
        </patternFill>
      </fill>
    </dxf>
    <dxf>
      <numFmt numFmtId="171" formatCode="_-[$$-540A]* #,##0.00_ ;_-[$$-540A]* \-#,##0.00\ ;_-[$$-540A]* &quot;-&quot;??_ ;_-@_ "/>
    </dxf>
    <dxf>
      <numFmt numFmtId="172" formatCode="_-[$€-2]\ * #,##0.00_-;\-[$€-2]\ * #,##0.00_-;_-[$€-2]\ * &quot;-&quot;??_-;_-@_-"/>
    </dxf>
    <dxf>
      <numFmt numFmtId="173" formatCode="_-[$Bs-400A]* #,##0.00_-;\-[$Bs-400A]* #,##0.00_-;_-[$Bs-400A]* &quot;-&quot;??_-;_-@_-"/>
    </dxf>
    <dxf>
      <numFmt numFmtId="174" formatCode="_-[$S/-280A]\ * #,##0.00_-;\-[$S/-280A]\ * #,##0.00_-;_-[$S/-280A]\ * &quot;-&quot;??_-;_-@_-"/>
    </dxf>
    <dxf>
      <numFmt numFmtId="165" formatCode="_(&quot;$&quot;* #,##0.00_);_(&quot;$&quot;* \(#,##0.00\);_(&quot;$&quot;* &quot;-&quot;??_);_(@_)"/>
    </dxf>
    <dxf>
      <numFmt numFmtId="171" formatCode="_-[$$-540A]* #,##0.00_ ;_-[$$-540A]* \-#,##0.00\ ;_-[$$-540A]* &quot;-&quot;??_ ;_-@_ "/>
    </dxf>
    <dxf>
      <numFmt numFmtId="172" formatCode="_-[$€-2]\ * #,##0.00_-;\-[$€-2]\ * #,##0.00_-;_-[$€-2]\ * &quot;-&quot;??_-;_-@_-"/>
    </dxf>
    <dxf>
      <numFmt numFmtId="173" formatCode="_-[$Bs-400A]* #,##0.00_-;\-[$Bs-400A]* #,##0.00_-;_-[$Bs-400A]* &quot;-&quot;??_-;_-@_-"/>
    </dxf>
    <dxf>
      <numFmt numFmtId="174" formatCode="_-[$S/-280A]\ * #,##0.00_-;\-[$S/-280A]\ * #,##0.00_-;_-[$S/-280A]\ * &quot;-&quot;??_-;_-@_-"/>
    </dxf>
    <dxf>
      <numFmt numFmtId="165" formatCode="_(&quot;$&quot;* #,##0.00_);_(&quot;$&quot;* \(#,##0.00\);_(&quot;$&quot;* &quot;-&quot;??_);_(@_)"/>
    </dxf>
    <dxf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464555"/>
        </left>
        <right style="thin">
          <color rgb="FF464555"/>
        </right>
        <top style="thin">
          <color rgb="FF464555"/>
        </top>
        <bottom/>
      </border>
    </dxf>
    <dxf>
      <fill>
        <patternFill patternType="solid">
          <fgColor indexed="64"/>
          <bgColor rgb="FFFFE7EA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464555"/>
        </left>
        <right style="thin">
          <color rgb="FF464555"/>
        </right>
        <top style="thin">
          <color rgb="FF464555"/>
        </top>
        <bottom/>
      </border>
    </dxf>
    <dxf>
      <numFmt numFmtId="14" formatCode="0.00%"/>
      <fill>
        <patternFill patternType="solid">
          <fgColor indexed="64"/>
          <bgColor rgb="FFFFE7EA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464555"/>
        </left>
        <right style="thin">
          <color rgb="FF464555"/>
        </right>
        <top style="thin">
          <color rgb="FF464555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464555"/>
        </left>
        <right style="thin">
          <color rgb="FF464555"/>
        </right>
        <top style="thin">
          <color rgb="FF464555"/>
        </top>
        <bottom/>
      </border>
    </dxf>
    <dxf>
      <numFmt numFmtId="165" formatCode="_(&quot;$&quot;* #,##0.00_);_(&quot;$&quot;* \(#,##0.00\);_(&quot;$&quot;* &quot;-&quot;??_);_(@_)"/>
      <fill>
        <patternFill patternType="solid">
          <fgColor indexed="64"/>
          <bgColor rgb="FFFFE7EA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464555"/>
        </left>
        <right style="thin">
          <color rgb="FF464555"/>
        </right>
        <top style="thin">
          <color rgb="FF464555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464555"/>
        </left>
        <right style="thin">
          <color rgb="FF464555"/>
        </right>
        <top style="thin">
          <color rgb="FF464555"/>
        </top>
        <bottom/>
      </border>
    </dxf>
    <dxf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rgb="FF464555"/>
        </left>
        <right style="thin">
          <color rgb="FF464555"/>
        </right>
        <top style="thin">
          <color rgb="FF464555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464555"/>
        </left>
        <right style="thin">
          <color rgb="FF464555"/>
        </right>
        <top style="thin">
          <color rgb="FF464555"/>
        </top>
        <bottom/>
      </border>
    </dxf>
    <dxf>
      <numFmt numFmtId="166" formatCode="m/d/yyyy"/>
      <fill>
        <patternFill patternType="solid">
          <fgColor indexed="64"/>
          <bgColor rgb="FFFFE7E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464555"/>
        </left>
        <right style="thin">
          <color rgb="FF464555"/>
        </right>
        <top style="thin">
          <color rgb="FF464555"/>
        </top>
        <bottom/>
      </border>
    </dxf>
    <dxf>
      <numFmt numFmtId="166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464555"/>
        </left>
        <right style="thin">
          <color rgb="FF464555"/>
        </right>
        <top style="thin">
          <color rgb="FF464555"/>
        </top>
        <bottom/>
      </border>
    </dxf>
    <dxf>
      <border outline="0">
        <top style="thin">
          <color rgb="FF0084FF"/>
        </top>
        <bottom style="thin">
          <color rgb="FF464555"/>
        </bottom>
      </border>
    </dxf>
    <dxf>
      <fill>
        <patternFill patternType="solid">
          <fgColor rgb="FF000000"/>
          <bgColor rgb="FFDAE9F8"/>
        </patternFill>
      </fill>
      <alignment horizontal="general" vertical="center" textRotation="0" wrapText="0" indent="0" justifyLastLine="0" shrinkToFit="0" readingOrder="0"/>
    </dxf>
    <dxf>
      <border>
        <bottom style="thin">
          <color rgb="FFFF575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none"/>
      </font>
      <fill>
        <patternFill patternType="solid">
          <fgColor indexed="64"/>
          <bgColor rgb="FFFF575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0" hidden="0"/>
    </dxf>
    <dxf>
      <numFmt numFmtId="173" formatCode="_-[$Bs-400A]* #,##0.00_-;\-[$Bs-400A]* #,##0.00_-;_-[$Bs-400A]* &quot;-&quot;??_-;_-@_-"/>
    </dxf>
    <dxf>
      <numFmt numFmtId="171" formatCode="_-[$$-540A]* #,##0.00_ ;_-[$$-540A]* \-#,##0.00\ ;_-[$$-540A]* &quot;-&quot;??_ ;_-@_ "/>
    </dxf>
    <dxf>
      <numFmt numFmtId="172" formatCode="_-[$€-2]\ * #,##0.00_-;\-[$€-2]\ * #,##0.00_-;_-[$€-2]\ * &quot;-&quot;??_-;_-@_-"/>
    </dxf>
    <dxf>
      <numFmt numFmtId="174" formatCode="_-[$S/-280A]\ * #,##0.00_-;\-[$S/-280A]\ * #,##0.00_-;_-[$S/-280A]\ * &quot;-&quot;??_-;_-@_-"/>
    </dxf>
    <dxf>
      <numFmt numFmtId="165" formatCode="_(&quot;$&quot;* #,##0.00_);_(&quot;$&quot;* \(#,##0.00\);_(&quot;$&quot;* &quot;-&quot;??_);_(@_)"/>
    </dxf>
    <dxf>
      <numFmt numFmtId="171" formatCode="_-[$$-540A]* #,##0.00_ ;_-[$$-540A]* \-#,##0.00\ ;_-[$$-540A]* &quot;-&quot;??_ ;_-@_ "/>
    </dxf>
    <dxf>
      <numFmt numFmtId="172" formatCode="_-[$€-2]\ * #,##0.00_-;\-[$€-2]\ * #,##0.00_-;_-[$€-2]\ * &quot;-&quot;??_-;_-@_-"/>
    </dxf>
    <dxf>
      <numFmt numFmtId="173" formatCode="_-[$Bs-400A]* #,##0.00_-;\-[$Bs-400A]* #,##0.00_-;_-[$Bs-400A]* &quot;-&quot;??_-;_-@_-"/>
    </dxf>
    <dxf>
      <numFmt numFmtId="174" formatCode="_-[$S/-280A]\ * #,##0.00_-;\-[$S/-280A]\ * #,##0.00_-;_-[$S/-280A]\ * &quot;-&quot;??_-;_-@_-"/>
    </dxf>
    <dxf>
      <numFmt numFmtId="165" formatCode="_(&quot;$&quot;* #,##0.00_);_(&quot;$&quot;* \(#,##0.00\);_(&quot;$&quot;* &quot;-&quot;??_);_(@_)"/>
    </dxf>
    <dxf>
      <fill>
        <patternFill patternType="solid">
          <fgColor indexed="64"/>
          <bgColor theme="3" tint="0.89999084444715716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464555"/>
        </left>
        <right style="thin">
          <color rgb="FF464555"/>
        </right>
        <top style="thin">
          <color rgb="FF464555"/>
        </top>
        <bottom/>
        <vertical/>
        <horizontal/>
      </border>
    </dxf>
    <dxf>
      <fill>
        <patternFill patternType="solid">
          <fgColor indexed="64"/>
          <bgColor theme="3" tint="0.89999084444715716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464555"/>
        </left>
        <right style="thin">
          <color rgb="FF464555"/>
        </right>
        <top style="thin">
          <color rgb="FF464555"/>
        </top>
        <bottom/>
        <vertical/>
        <horizontal/>
      </border>
    </dxf>
    <dxf>
      <numFmt numFmtId="14" formatCode="0.00%"/>
      <fill>
        <patternFill patternType="solid">
          <fgColor indexed="64"/>
          <bgColor theme="3" tint="0.89999084444715716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464555"/>
        </left>
        <right style="thin">
          <color rgb="FF464555"/>
        </right>
        <top style="thin">
          <color rgb="FF464555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464555"/>
        </left>
        <right style="thin">
          <color rgb="FF464555"/>
        </right>
        <top style="thin">
          <color rgb="FF464555"/>
        </top>
        <bottom/>
      </border>
    </dxf>
    <dxf>
      <numFmt numFmtId="165" formatCode="_(&quot;$&quot;* #,##0.00_);_(&quot;$&quot;* \(#,##0.00\);_(&quot;$&quot;* &quot;-&quot;??_);_(@_)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464555"/>
        </left>
        <right style="thin">
          <color rgb="FF464555"/>
        </right>
        <top style="thin">
          <color rgb="FF464555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464555"/>
        </left>
        <right style="thin">
          <color rgb="FF464555"/>
        </right>
        <top style="thin">
          <color rgb="FF464555"/>
        </top>
        <bottom/>
      </border>
    </dxf>
    <dxf>
      <fill>
        <patternFill patternType="solid">
          <fgColor indexed="64"/>
          <bgColor theme="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rgb="FF464555"/>
        </left>
        <right style="thin">
          <color rgb="FF464555"/>
        </right>
        <top style="thin">
          <color rgb="FF464555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464555"/>
        </left>
        <right style="thin">
          <color rgb="FF464555"/>
        </right>
        <top style="thin">
          <color rgb="FF464555"/>
        </top>
        <bottom/>
      </border>
    </dxf>
    <dxf>
      <numFmt numFmtId="166" formatCode="m/d/yyyy"/>
      <fill>
        <patternFill patternType="solid">
          <fgColor indexed="64"/>
          <bgColor theme="3" tint="0.8999908444471571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464555"/>
        </left>
        <right style="thin">
          <color rgb="FF464555"/>
        </right>
        <top style="thin">
          <color rgb="FF464555"/>
        </top>
        <bottom/>
      </border>
    </dxf>
    <dxf>
      <numFmt numFmtId="166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464555"/>
        </left>
        <right style="thin">
          <color rgb="FF464555"/>
        </right>
        <top style="thin">
          <color rgb="FF464555"/>
        </top>
        <bottom/>
      </border>
    </dxf>
    <dxf>
      <border outline="0">
        <top style="thin">
          <color rgb="FF0084FF"/>
        </top>
        <bottom style="thin">
          <color rgb="FF464555"/>
        </bottom>
      </border>
    </dxf>
    <dxf>
      <fill>
        <patternFill patternType="solid">
          <fgColor indexed="64"/>
          <bgColor theme="3" tint="0.89999084444715716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none"/>
      </font>
      <fill>
        <patternFill patternType="solid">
          <fgColor indexed="64"/>
          <bgColor rgb="FF0084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73" formatCode="_-[$Bs-400A]* #,##0.00_-;\-[$Bs-400A]* #,##0.00_-;_-[$Bs-400A]* &quot;-&quot;??_-;_-@_-"/>
    </dxf>
    <dxf>
      <numFmt numFmtId="171" formatCode="_-[$$-540A]* #,##0.00_ ;_-[$$-540A]* \-#,##0.00\ ;_-[$$-540A]* &quot;-&quot;??_ ;_-@_ "/>
    </dxf>
    <dxf>
      <numFmt numFmtId="172" formatCode="_-[$€-2]\ * #,##0.00_-;\-[$€-2]\ * #,##0.00_-;_-[$€-2]\ * &quot;-&quot;??_-;_-@_-"/>
    </dxf>
    <dxf>
      <numFmt numFmtId="174" formatCode="_-[$S/-280A]\ * #,##0.00_-;\-[$S/-280A]\ * #,##0.00_-;_-[$S/-280A]\ * &quot;-&quot;??_-;_-@_-"/>
    </dxf>
    <dxf>
      <numFmt numFmtId="165" formatCode="_(&quot;$&quot;* #,##0.00_);_(&quot;$&quot;* \(#,##0.00\);_(&quot;$&quot;* &quot;-&quot;??_);_(@_)"/>
    </dxf>
    <dxf>
      <numFmt numFmtId="171" formatCode="_-[$$-540A]* #,##0.00_ ;_-[$$-540A]* \-#,##0.00\ ;_-[$$-540A]* &quot;-&quot;??_ ;_-@_ "/>
    </dxf>
    <dxf>
      <numFmt numFmtId="172" formatCode="_-[$€-2]\ * #,##0.00_-;\-[$€-2]\ * #,##0.00_-;_-[$€-2]\ * &quot;-&quot;??_-;_-@_-"/>
    </dxf>
    <dxf>
      <numFmt numFmtId="173" formatCode="_-[$Bs-400A]* #,##0.00_-;\-[$Bs-400A]* #,##0.00_-;_-[$Bs-400A]* &quot;-&quot;??_-;_-@_-"/>
    </dxf>
    <dxf>
      <numFmt numFmtId="174" formatCode="_-[$S/-280A]\ * #,##0.00_-;\-[$S/-280A]\ * #,##0.00_-;_-[$S/-280A]\ * &quot;-&quot;??_-;_-@_-"/>
    </dxf>
    <dxf>
      <numFmt numFmtId="165" formatCode="_(&quot;$&quot;* #,##0.00_);_(&quot;$&quot;* \(#,##0.00\);_(&quot;$&quot;* &quot;-&quot;??_);_(@_)"/>
    </dxf>
    <dxf>
      <numFmt numFmtId="171" formatCode="_-[$$-540A]* #,##0.00_ ;_-[$$-540A]* \-#,##0.00\ ;_-[$$-540A]* &quot;-&quot;??_ ;_-@_ "/>
    </dxf>
    <dxf>
      <numFmt numFmtId="172" formatCode="_-[$€-2]\ * #,##0.00_-;\-[$€-2]\ * #,##0.00_-;_-[$€-2]\ * &quot;-&quot;??_-;_-@_-"/>
    </dxf>
    <dxf>
      <numFmt numFmtId="173" formatCode="_-[$Bs-400A]* #,##0.00_-;\-[$Bs-400A]* #,##0.00_-;_-[$Bs-400A]* &quot;-&quot;??_-;_-@_-"/>
    </dxf>
    <dxf>
      <numFmt numFmtId="174" formatCode="_-[$S/-280A]\ * #,##0.00_-;\-[$S/-280A]\ * #,##0.00_-;_-[$S/-280A]\ * &quot;-&quot;??_-;_-@_-"/>
    </dxf>
    <dxf>
      <numFmt numFmtId="165" formatCode="_(&quot;$&quot;* #,##0.00_);_(&quot;$&quot;* \(#,##0.00\);_(&quot;$&quot;* &quot;-&quot;??_);_(@_)"/>
    </dxf>
    <dxf>
      <numFmt numFmtId="171" formatCode="_-[$$-540A]* #,##0.00_ ;_-[$$-540A]* \-#,##0.00\ ;_-[$$-540A]* &quot;-&quot;??_ ;_-@_ "/>
    </dxf>
    <dxf>
      <numFmt numFmtId="172" formatCode="_-[$€-2]\ * #,##0.00_-;\-[$€-2]\ * #,##0.00_-;_-[$€-2]\ * &quot;-&quot;??_-;_-@_-"/>
    </dxf>
    <dxf>
      <numFmt numFmtId="173" formatCode="_-[$Bs-400A]* #,##0.00_-;\-[$Bs-400A]* #,##0.00_-;_-[$Bs-400A]* &quot;-&quot;??_-;_-@_-"/>
    </dxf>
    <dxf>
      <numFmt numFmtId="174" formatCode="_-[$S/-280A]\ * #,##0.00_-;\-[$S/-280A]\ * #,##0.00_-;_-[$S/-280A]\ * &quot;-&quot;??_-;_-@_-"/>
    </dxf>
    <dxf>
      <numFmt numFmtId="164" formatCode="_-&quot;$&quot;* #,##0.00_-;\-&quot;$&quot;* #,##0.00_-;_-&quot;$&quot;* &quot;-&quot;??_-;_-@_-"/>
    </dxf>
    <dxf>
      <font>
        <b/>
        <i val="0"/>
        <color rgb="FFFF5757"/>
      </font>
      <fill>
        <patternFill>
          <bgColor rgb="FFFFE7EA"/>
        </patternFill>
      </fill>
    </dxf>
    <dxf>
      <numFmt numFmtId="171" formatCode="_-[$$-540A]* #,##0.00_ ;_-[$$-540A]* \-#,##0.00\ ;_-[$$-540A]* &quot;-&quot;??_ ;_-@_ "/>
    </dxf>
    <dxf>
      <numFmt numFmtId="172" formatCode="_-[$€-2]\ * #,##0.00_-;\-[$€-2]\ * #,##0.00_-;_-[$€-2]\ * &quot;-&quot;??_-;_-@_-"/>
    </dxf>
    <dxf>
      <numFmt numFmtId="173" formatCode="_-[$Bs-400A]* #,##0.00_-;\-[$Bs-400A]* #,##0.00_-;_-[$Bs-400A]* &quot;-&quot;??_-;_-@_-"/>
    </dxf>
    <dxf>
      <numFmt numFmtId="174" formatCode="_-[$S/-280A]\ * #,##0.00_-;\-[$S/-280A]\ * #,##0.00_-;_-[$S/-280A]\ * &quot;-&quot;??_-;_-@_-"/>
    </dxf>
    <dxf>
      <numFmt numFmtId="165" formatCode="_(&quot;$&quot;* #,##0.00_);_(&quot;$&quot;* \(#,##0.00\);_(&quot;$&quot;* &quot;-&quot;??_);_(@_)"/>
    </dxf>
    <dxf>
      <font>
        <b/>
        <i val="0"/>
        <color rgb="FFFF5757"/>
      </font>
      <fill>
        <patternFill>
          <bgColor rgb="FFFFE7EA"/>
        </patternFill>
      </fill>
    </dxf>
    <dxf>
      <numFmt numFmtId="171" formatCode="_-[$$-540A]* #,##0.00_ ;_-[$$-540A]* \-#,##0.00\ ;_-[$$-540A]* &quot;-&quot;??_ ;_-@_ "/>
    </dxf>
    <dxf>
      <numFmt numFmtId="172" formatCode="_-[$€-2]\ * #,##0.00_-;\-[$€-2]\ * #,##0.00_-;_-[$€-2]\ * &quot;-&quot;??_-;_-@_-"/>
    </dxf>
    <dxf>
      <numFmt numFmtId="173" formatCode="_-[$Bs-400A]* #,##0.00_-;\-[$Bs-400A]* #,##0.00_-;_-[$Bs-400A]* &quot;-&quot;??_-;_-@_-"/>
    </dxf>
    <dxf>
      <numFmt numFmtId="174" formatCode="_-[$S/-280A]\ * #,##0.00_-;\-[$S/-280A]\ * #,##0.00_-;_-[$S/-280A]\ * &quot;-&quot;??_-;_-@_-"/>
    </dxf>
    <dxf>
      <numFmt numFmtId="165" formatCode="_(&quot;$&quot;* #,##0.00_);_(&quot;$&quot;* \(#,##0.00\);_(&quot;$&quot;* &quot;-&quot;??_);_(@_)"/>
    </dxf>
  </dxfs>
  <tableStyles count="0" defaultTableStyle="TableStyleMedium2" defaultPivotStyle="PivotStyleLight16"/>
  <colors>
    <mruColors>
      <color rgb="FFFF5757"/>
      <color rgb="FF0084FF"/>
      <color rgb="FFFFE7EA"/>
      <color rgb="FF7ED957"/>
      <color rgb="FF464555"/>
      <color rgb="FFFF66C4"/>
      <color rgb="FF8C52FF"/>
      <color rgb="FFFF914D"/>
      <color rgb="FFFFDE59"/>
      <color rgb="FF5CE1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464555"/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r>
              <a:rPr lang="es-MX" sz="1600">
                <a:solidFill>
                  <a:srgbClr val="464555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DETALLE DE INGRESO MENSUAL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rgbClr val="464555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s-A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84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B0D-46C4-8E66-61E8EC5D2A38}"/>
              </c:ext>
            </c:extLst>
          </c:dPt>
          <c:dPt>
            <c:idx val="1"/>
            <c:bubble3D val="0"/>
            <c:spPr>
              <a:solidFill>
                <a:srgbClr val="7ED95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B0D-46C4-8E66-61E8EC5D2A38}"/>
              </c:ext>
            </c:extLst>
          </c:dPt>
          <c:dPt>
            <c:idx val="2"/>
            <c:bubble3D val="0"/>
            <c:spPr>
              <a:solidFill>
                <a:srgbClr val="FF66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B0D-46C4-8E66-61E8EC5D2A38}"/>
              </c:ext>
            </c:extLst>
          </c:dPt>
          <c:dPt>
            <c:idx val="3"/>
            <c:bubble3D val="0"/>
            <c:spPr>
              <a:solidFill>
                <a:srgbClr val="8C52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B0D-46C4-8E66-61E8EC5D2A38}"/>
              </c:ext>
            </c:extLst>
          </c:dPt>
          <c:dPt>
            <c:idx val="4"/>
            <c:bubble3D val="0"/>
            <c:spPr>
              <a:solidFill>
                <a:srgbClr val="5CE1E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B0D-46C4-8E66-61E8EC5D2A38}"/>
              </c:ext>
            </c:extLst>
          </c:dPt>
          <c:dPt>
            <c:idx val="5"/>
            <c:bubble3D val="0"/>
            <c:spPr>
              <a:solidFill>
                <a:srgbClr val="FF575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B0D-46C4-8E66-61E8EC5D2A38}"/>
              </c:ext>
            </c:extLst>
          </c:dPt>
          <c:dPt>
            <c:idx val="6"/>
            <c:bubble3D val="0"/>
            <c:spPr>
              <a:solidFill>
                <a:srgbClr val="FFDE5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B0D-46C4-8E66-61E8EC5D2A38}"/>
              </c:ext>
            </c:extLst>
          </c:dPt>
          <c:dPt>
            <c:idx val="7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B0D-46C4-8E66-61E8EC5D2A38}"/>
              </c:ext>
            </c:extLst>
          </c:dPt>
          <c:dPt>
            <c:idx val="8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B0D-46C4-8E66-61E8EC5D2A38}"/>
              </c:ext>
            </c:extLst>
          </c:dPt>
          <c:dPt>
            <c:idx val="9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4B0D-46C4-8E66-61E8EC5D2A3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32B7-4982-87E6-0C4D300355C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32B7-4982-87E6-0C4D300355C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32B7-4982-87E6-0C4D300355C1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32B7-4982-87E6-0C4D300355C1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32B7-4982-87E6-0C4D300355C1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32B7-4982-87E6-0C4D300355C1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32B7-4982-87E6-0C4D300355C1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32B7-4982-87E6-0C4D300355C1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32B7-4982-87E6-0C4D300355C1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32B7-4982-87E6-0C4D300355C1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32B7-4982-87E6-0C4D300355C1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32B7-4982-87E6-0C4D300355C1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32B7-4982-87E6-0C4D300355C1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32B7-4982-87E6-0C4D300355C1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32B7-4982-87E6-0C4D300355C1}"/>
              </c:ext>
            </c:extLst>
          </c:dPt>
          <c:dLbls>
            <c:spPr>
              <a:solidFill>
                <a:srgbClr val="464555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'Informe Mensual'!$B$21:$B$45</c:f>
              <c:strCache>
                <c:ptCount val="25"/>
                <c:pt idx="0">
                  <c:v>Banco Galicia</c:v>
                </c:pt>
                <c:pt idx="1">
                  <c:v>Banco Nación</c:v>
                </c:pt>
                <c:pt idx="2">
                  <c:v>Banco Santander</c:v>
                </c:pt>
                <c:pt idx="3">
                  <c:v>Banco Superville</c:v>
                </c:pt>
                <c:pt idx="4">
                  <c:v>Banco Superville castelar</c:v>
                </c:pt>
                <c:pt idx="5">
                  <c:v>Deposito</c:v>
                </c:pt>
                <c:pt idx="6">
                  <c:v>Ventas Local Alvear</c:v>
                </c:pt>
                <c:pt idx="7">
                  <c:v>Ventas Local San Rafael</c:v>
                </c:pt>
                <c:pt idx="8">
                  <c:v>Ventas Local San Martín</c:v>
                </c:pt>
                <c:pt idx="9">
                  <c:v>Ventas Mendoza (Mauri)</c:v>
                </c:pt>
                <c:pt idx="10">
                  <c:v>Ventas Frigorífico</c:v>
                </c:pt>
                <c:pt idx="11">
                  <c:v>#N/D</c:v>
                </c:pt>
                <c:pt idx="12">
                  <c:v>#N/D</c:v>
                </c:pt>
                <c:pt idx="13">
                  <c:v>#N/D</c:v>
                </c:pt>
                <c:pt idx="14">
                  <c:v>#N/D</c:v>
                </c:pt>
                <c:pt idx="15">
                  <c:v>#N/D</c:v>
                </c:pt>
                <c:pt idx="16">
                  <c:v>#N/D</c:v>
                </c:pt>
                <c:pt idx="17">
                  <c:v>#N/D</c:v>
                </c:pt>
                <c:pt idx="18">
                  <c:v>#N/D</c:v>
                </c:pt>
                <c:pt idx="19">
                  <c:v>#N/D</c:v>
                </c:pt>
                <c:pt idx="20">
                  <c:v>#N/D</c:v>
                </c:pt>
                <c:pt idx="21">
                  <c:v>#N/D</c:v>
                </c:pt>
                <c:pt idx="22">
                  <c:v>#N/D</c:v>
                </c:pt>
                <c:pt idx="23">
                  <c:v>#N/D</c:v>
                </c:pt>
                <c:pt idx="24">
                  <c:v>#N/D</c:v>
                </c:pt>
              </c:strCache>
            </c:strRef>
          </c:cat>
          <c:val>
            <c:numRef>
              <c:f>'Informe Mensual'!$C$21:$C$45</c:f>
              <c:numCache>
                <c:formatCode>_("$"* #,##0.00_);_("$"* \(#,##0.00\);_("$"* "-"??_);_(@_)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0D-46C4-8E66-61E8EC5D2A3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bg1"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464555"/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r>
              <a:rPr lang="es-MX" sz="1600">
                <a:solidFill>
                  <a:srgbClr val="464555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DETALLE DE EGRESO</a:t>
            </a:r>
            <a:r>
              <a:rPr lang="es-MX" sz="1600" baseline="0">
                <a:solidFill>
                  <a:srgbClr val="464555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 MENSUAL</a:t>
            </a:r>
            <a:endParaRPr lang="es-MX" sz="1600">
              <a:solidFill>
                <a:srgbClr val="464555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rgbClr val="464555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s-A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5CE1E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AC0-4EE6-BC48-FAF2CA1CE0EB}"/>
              </c:ext>
            </c:extLst>
          </c:dPt>
          <c:dPt>
            <c:idx val="1"/>
            <c:bubble3D val="0"/>
            <c:spPr>
              <a:solidFill>
                <a:srgbClr val="FFDE5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AC0-4EE6-BC48-FAF2CA1CE0EB}"/>
              </c:ext>
            </c:extLst>
          </c:dPt>
          <c:dPt>
            <c:idx val="2"/>
            <c:bubble3D val="0"/>
            <c:spPr>
              <a:solidFill>
                <a:srgbClr val="0084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AC0-4EE6-BC48-FAF2CA1CE0EB}"/>
              </c:ext>
            </c:extLst>
          </c:dPt>
          <c:dPt>
            <c:idx val="3"/>
            <c:bubble3D val="0"/>
            <c:spPr>
              <a:solidFill>
                <a:srgbClr val="FF66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AC0-4EE6-BC48-FAF2CA1CE0EB}"/>
              </c:ext>
            </c:extLst>
          </c:dPt>
          <c:dPt>
            <c:idx val="4"/>
            <c:bubble3D val="0"/>
            <c:spPr>
              <a:solidFill>
                <a:srgbClr val="8C52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AC0-4EE6-BC48-FAF2CA1CE0EB}"/>
              </c:ext>
            </c:extLst>
          </c:dPt>
          <c:dPt>
            <c:idx val="5"/>
            <c:bubble3D val="0"/>
            <c:spPr>
              <a:solidFill>
                <a:srgbClr val="FF575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AC0-4EE6-BC48-FAF2CA1CE0EB}"/>
              </c:ext>
            </c:extLst>
          </c:dPt>
          <c:dPt>
            <c:idx val="6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AC0-4EE6-BC48-FAF2CA1CE0EB}"/>
              </c:ext>
            </c:extLst>
          </c:dPt>
          <c:dPt>
            <c:idx val="7"/>
            <c:bubble3D val="0"/>
            <c:spPr>
              <a:solidFill>
                <a:srgbClr val="7ED95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AC0-4EE6-BC48-FAF2CA1CE0EB}"/>
              </c:ext>
            </c:extLst>
          </c:dPt>
          <c:dPt>
            <c:idx val="8"/>
            <c:bubble3D val="0"/>
            <c:spPr>
              <a:solidFill>
                <a:srgbClr val="FF575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AC0-4EE6-BC48-FAF2CA1CE0E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9AC0-4EE6-BC48-FAF2CA1CE0E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9AC0-4EE6-BC48-FAF2CA1CE0E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9AC0-4EE6-BC48-FAF2CA1CE0E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9AC0-4EE6-BC48-FAF2CA1CE0E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9AC0-4EE6-BC48-FAF2CA1CE0EB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9AC0-4EE6-BC48-FAF2CA1CE0EB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9AC0-4EE6-BC48-FAF2CA1CE0EB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9AC0-4EE6-BC48-FAF2CA1CE0EB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9AC0-4EE6-BC48-FAF2CA1CE0E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9AC0-4EE6-BC48-FAF2CA1CE0EB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9AC0-4EE6-BC48-FAF2CA1CE0EB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9AC0-4EE6-BC48-FAF2CA1CE0EB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9AC0-4EE6-BC48-FAF2CA1CE0EB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9AC0-4EE6-BC48-FAF2CA1CE0EB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9AC0-4EE6-BC48-FAF2CA1CE0EB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9AC0-4EE6-BC48-FAF2CA1CE0EB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DA49-4E98-A039-04DF1FA89E9A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DA49-4E98-A039-04DF1FA89E9A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DA49-4E98-A039-04DF1FA89E9A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DA49-4E98-A039-04DF1FA89E9A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DA49-4E98-A039-04DF1FA89E9A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DA49-4E98-A039-04DF1FA89E9A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DA49-4E98-A039-04DF1FA89E9A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DA49-4E98-A039-04DF1FA89E9A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DA49-4E98-A039-04DF1FA89E9A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DA49-4E98-A039-04DF1FA89E9A}"/>
              </c:ext>
            </c:extLst>
          </c:dPt>
          <c:dLbls>
            <c:spPr>
              <a:solidFill>
                <a:srgbClr val="464555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'Informe Mensual'!$G$21:$G$55</c:f>
              <c:strCache>
                <c:ptCount val="35"/>
                <c:pt idx="0">
                  <c:v>Aditivos</c:v>
                </c:pt>
                <c:pt idx="1">
                  <c:v>Afilado</c:v>
                </c:pt>
                <c:pt idx="2">
                  <c:v>Alimento Granja</c:v>
                </c:pt>
                <c:pt idx="3">
                  <c:v>Alquiler</c:v>
                </c:pt>
                <c:pt idx="4">
                  <c:v>Colaboración</c:v>
                </c:pt>
                <c:pt idx="5">
                  <c:v>Combustible</c:v>
                </c:pt>
                <c:pt idx="6">
                  <c:v>Consumo Personal</c:v>
                </c:pt>
                <c:pt idx="7">
                  <c:v>Descartables</c:v>
                </c:pt>
                <c:pt idx="8">
                  <c:v>Desinfección</c:v>
                </c:pt>
                <c:pt idx="9">
                  <c:v>Dosis de Inseminación</c:v>
                </c:pt>
                <c:pt idx="10">
                  <c:v>Frio Andino</c:v>
                </c:pt>
                <c:pt idx="11">
                  <c:v>Gastos Administrativos</c:v>
                </c:pt>
                <c:pt idx="12">
                  <c:v>Gastos Bancarios</c:v>
                </c:pt>
                <c:pt idx="13">
                  <c:v>Higiene y Seguridad</c:v>
                </c:pt>
                <c:pt idx="14">
                  <c:v>Honorarios Profesionales</c:v>
                </c:pt>
                <c:pt idx="15">
                  <c:v>Indumentaria</c:v>
                </c:pt>
                <c:pt idx="16">
                  <c:v>Insumos</c:v>
                </c:pt>
                <c:pt idx="17">
                  <c:v>Laboratorio/Medicamentos/Vacunas granja</c:v>
                </c:pt>
                <c:pt idx="18">
                  <c:v>Librería</c:v>
                </c:pt>
                <c:pt idx="19">
                  <c:v>Limpieza</c:v>
                </c:pt>
                <c:pt idx="20">
                  <c:v>Mano de obra/Contratista</c:v>
                </c:pt>
                <c:pt idx="21">
                  <c:v>Mantenimiento vehículos</c:v>
                </c:pt>
                <c:pt idx="22">
                  <c:v>Maquinas/Herramientas</c:v>
                </c:pt>
                <c:pt idx="23">
                  <c:v>Matadero</c:v>
                </c:pt>
                <c:pt idx="24">
                  <c:v>Material de construcción</c:v>
                </c:pt>
                <c:pt idx="25">
                  <c:v>Mercadería para la venta</c:v>
                </c:pt>
                <c:pt idx="26">
                  <c:v>Publicidad</c:v>
                </c:pt>
                <c:pt idx="27">
                  <c:v>Retiro</c:v>
                </c:pt>
                <c:pt idx="28">
                  <c:v>Seguros</c:v>
                </c:pt>
                <c:pt idx="29">
                  <c:v>Servicio Técnico</c:v>
                </c:pt>
                <c:pt idx="30">
                  <c:v>Servicios e Impuestos</c:v>
                </c:pt>
                <c:pt idx="31">
                  <c:v>Sindicatos</c:v>
                </c:pt>
                <c:pt idx="32">
                  <c:v>Stopcar</c:v>
                </c:pt>
                <c:pt idx="33">
                  <c:v>Sueldos</c:v>
                </c:pt>
                <c:pt idx="34">
                  <c:v>Transporte/Encomienda</c:v>
                </c:pt>
              </c:strCache>
            </c:strRef>
          </c:cat>
          <c:val>
            <c:numRef>
              <c:f>'Informe Mensual'!$H$21:$H$55</c:f>
              <c:numCache>
                <c:formatCode>_("$"* #,##0.00_);_("$"* \(#,##0.00\);_("$"* "-"??_);_(@_)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9AC0-4EE6-BC48-FAF2CA1CE0E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bg1"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600" b="1">
                <a:solidFill>
                  <a:srgbClr val="464555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DETALLE</a:t>
            </a:r>
            <a:r>
              <a:rPr lang="es-MX" sz="1600" b="1" baseline="0">
                <a:solidFill>
                  <a:srgbClr val="464555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 DE META MENSUAL</a:t>
            </a:r>
            <a:endParaRPr lang="es-MX" sz="1600" b="1">
              <a:solidFill>
                <a:srgbClr val="464555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91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A32-4BA1-A469-49A3BF36C925}"/>
              </c:ext>
            </c:extLst>
          </c:dPt>
          <c:dPt>
            <c:idx val="1"/>
            <c:invertIfNegative val="0"/>
            <c:bubble3D val="0"/>
            <c:spPr>
              <a:solidFill>
                <a:srgbClr val="7ED95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A32-4BA1-A469-49A3BF36C925}"/>
              </c:ext>
            </c:extLst>
          </c:dPt>
          <c:dLbls>
            <c:dLbl>
              <c:idx val="0"/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Calibri" panose="020F050202020403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3A32-4BA1-A469-49A3BF36C925}"/>
                </c:ext>
              </c:extLst>
            </c:dLbl>
            <c:dLbl>
              <c:idx val="1"/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Calibri" panose="020F050202020403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3A32-4BA1-A469-49A3BF36C9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'Informe Mensual'!$H$9:$I$9</c:f>
              <c:strCache>
                <c:ptCount val="2"/>
                <c:pt idx="0">
                  <c:v>Meta mensual</c:v>
                </c:pt>
                <c:pt idx="1">
                  <c:v>Ganancia</c:v>
                </c:pt>
              </c:strCache>
            </c:strRef>
          </c:cat>
          <c:val>
            <c:numRef>
              <c:f>'Informe Mensual'!$H$10:$I$10</c:f>
              <c:numCache>
                <c:formatCode>_-"$"* #,##0.00_-;\-"$"* #,##0.00_-;_-"$"*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32-4BA1-A469-49A3BF36C9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688823616"/>
        <c:axId val="1688817856"/>
      </c:barChart>
      <c:catAx>
        <c:axId val="1688823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s-AR"/>
          </a:p>
        </c:txPr>
        <c:crossAx val="1688817856"/>
        <c:crosses val="autoZero"/>
        <c:auto val="1"/>
        <c:lblAlgn val="ctr"/>
        <c:lblOffset val="100"/>
        <c:noMultiLvlLbl val="0"/>
      </c:catAx>
      <c:valAx>
        <c:axId val="1688817856"/>
        <c:scaling>
          <c:orientation val="minMax"/>
          <c:min val="0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88823616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r>
              <a:rPr lang="es-MX" b="1">
                <a:solidFill>
                  <a:srgbClr val="464555"/>
                </a:solidFill>
              </a:rPr>
              <a:t>INGRESOS Y EGRESOS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7.7331402292987031E-2"/>
          <c:y val="0.17171296296296296"/>
          <c:w val="0.91839509415251797"/>
          <c:h val="0.729482720909886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84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F1E-450A-8020-3513FD9CB011}"/>
              </c:ext>
            </c:extLst>
          </c:dPt>
          <c:cat>
            <c:numRef>
              <c:f>'Informe Anual'!$C$53:$N$53</c:f>
              <c:numCache>
                <c:formatCode>mmm</c:formatCode>
                <c:ptCount val="12"/>
                <c:pt idx="0">
                  <c:v>45626</c:v>
                </c:pt>
                <c:pt idx="1">
                  <c:v>45657</c:v>
                </c:pt>
                <c:pt idx="2">
                  <c:v>45688</c:v>
                </c:pt>
                <c:pt idx="3">
                  <c:v>45716</c:v>
                </c:pt>
                <c:pt idx="4">
                  <c:v>45747</c:v>
                </c:pt>
                <c:pt idx="5">
                  <c:v>45777</c:v>
                </c:pt>
                <c:pt idx="6">
                  <c:v>45808</c:v>
                </c:pt>
                <c:pt idx="7">
                  <c:v>45838</c:v>
                </c:pt>
                <c:pt idx="8">
                  <c:v>45869</c:v>
                </c:pt>
                <c:pt idx="9">
                  <c:v>45900</c:v>
                </c:pt>
                <c:pt idx="10">
                  <c:v>45930</c:v>
                </c:pt>
                <c:pt idx="11">
                  <c:v>45961</c:v>
                </c:pt>
              </c:numCache>
            </c:numRef>
          </c:cat>
          <c:val>
            <c:numRef>
              <c:f>'Informe Anual'!$C$47:$N$47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282844485.81999999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1E-450A-8020-3513FD9CB011}"/>
            </c:ext>
          </c:extLst>
        </c:ser>
        <c:ser>
          <c:idx val="1"/>
          <c:order val="1"/>
          <c:spPr>
            <a:solidFill>
              <a:srgbClr val="FF5757"/>
            </a:solidFill>
            <a:ln>
              <a:noFill/>
            </a:ln>
            <a:effectLst/>
          </c:spPr>
          <c:invertIfNegative val="0"/>
          <c:cat>
            <c:numRef>
              <c:f>'Informe Anual'!$C$53:$N$53</c:f>
              <c:numCache>
                <c:formatCode>mmm</c:formatCode>
                <c:ptCount val="12"/>
                <c:pt idx="0">
                  <c:v>45626</c:v>
                </c:pt>
                <c:pt idx="1">
                  <c:v>45657</c:v>
                </c:pt>
                <c:pt idx="2">
                  <c:v>45688</c:v>
                </c:pt>
                <c:pt idx="3">
                  <c:v>45716</c:v>
                </c:pt>
                <c:pt idx="4">
                  <c:v>45747</c:v>
                </c:pt>
                <c:pt idx="5">
                  <c:v>45777</c:v>
                </c:pt>
                <c:pt idx="6">
                  <c:v>45808</c:v>
                </c:pt>
                <c:pt idx="7">
                  <c:v>45838</c:v>
                </c:pt>
                <c:pt idx="8">
                  <c:v>45869</c:v>
                </c:pt>
                <c:pt idx="9">
                  <c:v>45900</c:v>
                </c:pt>
                <c:pt idx="10">
                  <c:v>45930</c:v>
                </c:pt>
                <c:pt idx="11">
                  <c:v>45961</c:v>
                </c:pt>
              </c:numCache>
            </c:numRef>
          </c:cat>
          <c:val>
            <c:numRef>
              <c:f>'Informe Anual'!$C$89:$N$89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41114870.345999993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1E-450A-8020-3513FD9CB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6258688"/>
        <c:axId val="1226247168"/>
      </c:barChart>
      <c:dateAx>
        <c:axId val="1226258688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464555"/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s-AR"/>
          </a:p>
        </c:txPr>
        <c:crossAx val="1226247168"/>
        <c:crosses val="autoZero"/>
        <c:auto val="1"/>
        <c:lblOffset val="100"/>
        <c:baseTimeUnit val="months"/>
      </c:dateAx>
      <c:valAx>
        <c:axId val="122624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464555"/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s-AR"/>
          </a:p>
        </c:txPr>
        <c:crossAx val="12262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noFill/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Calibri" panose="020F0502020204030204" pitchFamily="34" charset="0"/>
          <a:ea typeface="+mn-ea"/>
          <a:cs typeface="Calibri" panose="020F0502020204030204" pitchFamily="34" charset="0"/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r>
              <a:rPr lang="es-MX" sz="1400" b="1"/>
              <a:t>IMPUESTOS PAGADOS Y CRÉDITO FISCAL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E7EA"/>
            </a:solidFill>
            <a:ln>
              <a:noFill/>
            </a:ln>
            <a:effectLst/>
          </c:spPr>
          <c:invertIfNegative val="0"/>
          <c:cat>
            <c:numRef>
              <c:f>'Informe Anual'!$C$21:$N$21</c:f>
              <c:numCache>
                <c:formatCode>mmm</c:formatCode>
                <c:ptCount val="12"/>
                <c:pt idx="0">
                  <c:v>45626</c:v>
                </c:pt>
                <c:pt idx="1">
                  <c:v>45657</c:v>
                </c:pt>
                <c:pt idx="2">
                  <c:v>45688</c:v>
                </c:pt>
                <c:pt idx="3">
                  <c:v>45716</c:v>
                </c:pt>
                <c:pt idx="4">
                  <c:v>45747</c:v>
                </c:pt>
                <c:pt idx="5">
                  <c:v>45777</c:v>
                </c:pt>
                <c:pt idx="6">
                  <c:v>45808</c:v>
                </c:pt>
                <c:pt idx="7">
                  <c:v>45838</c:v>
                </c:pt>
                <c:pt idx="8">
                  <c:v>45869</c:v>
                </c:pt>
                <c:pt idx="9">
                  <c:v>45900</c:v>
                </c:pt>
                <c:pt idx="10">
                  <c:v>45930</c:v>
                </c:pt>
                <c:pt idx="11">
                  <c:v>45961</c:v>
                </c:pt>
              </c:numCache>
            </c:numRef>
          </c:cat>
          <c:val>
            <c:numRef>
              <c:f>'Informe Anual'!$C$48:$N$48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78-4791-96C0-66A5EA27C4DA}"/>
            </c:ext>
          </c:extLst>
        </c:ser>
        <c:ser>
          <c:idx val="1"/>
          <c:order val="1"/>
          <c:spPr>
            <a:solidFill>
              <a:schemeClr val="tx2">
                <a:lumMod val="10000"/>
                <a:lumOff val="90000"/>
              </a:schemeClr>
            </a:solidFill>
            <a:ln>
              <a:noFill/>
            </a:ln>
            <a:effectLst/>
          </c:spPr>
          <c:invertIfNegative val="0"/>
          <c:cat>
            <c:numRef>
              <c:f>'Informe Anual'!$C$21:$N$21</c:f>
              <c:numCache>
                <c:formatCode>mmm</c:formatCode>
                <c:ptCount val="12"/>
                <c:pt idx="0">
                  <c:v>45626</c:v>
                </c:pt>
                <c:pt idx="1">
                  <c:v>45657</c:v>
                </c:pt>
                <c:pt idx="2">
                  <c:v>45688</c:v>
                </c:pt>
                <c:pt idx="3">
                  <c:v>45716</c:v>
                </c:pt>
                <c:pt idx="4">
                  <c:v>45747</c:v>
                </c:pt>
                <c:pt idx="5">
                  <c:v>45777</c:v>
                </c:pt>
                <c:pt idx="6">
                  <c:v>45808</c:v>
                </c:pt>
                <c:pt idx="7">
                  <c:v>45838</c:v>
                </c:pt>
                <c:pt idx="8">
                  <c:v>45869</c:v>
                </c:pt>
                <c:pt idx="9">
                  <c:v>45900</c:v>
                </c:pt>
                <c:pt idx="10">
                  <c:v>45930</c:v>
                </c:pt>
                <c:pt idx="11">
                  <c:v>45961</c:v>
                </c:pt>
              </c:numCache>
            </c:numRef>
          </c:cat>
          <c:val>
            <c:numRef>
              <c:f>'Informe Anual'!$C$90:$N$90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78-4791-96C0-66A5EA27C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2520864"/>
        <c:axId val="1262533344"/>
      </c:barChart>
      <c:dateAx>
        <c:axId val="1262520864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s-AR"/>
          </a:p>
        </c:txPr>
        <c:crossAx val="1262533344"/>
        <c:crosses val="autoZero"/>
        <c:auto val="1"/>
        <c:lblOffset val="100"/>
        <c:baseTimeUnit val="months"/>
      </c:dateAx>
      <c:valAx>
        <c:axId val="126253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s-AR"/>
          </a:p>
        </c:txPr>
        <c:crossAx val="126252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" panose="020F0502020204030204" pitchFamily="34" charset="0"/>
          <a:cs typeface="Calibri" panose="020F0502020204030204" pitchFamily="34" charset="0"/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64555"/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r>
              <a:rPr lang="es-MX" sz="1400" b="1">
                <a:solidFill>
                  <a:srgbClr val="464555"/>
                </a:solidFill>
              </a:rPr>
              <a:t>CUMPLIMIENTO</a:t>
            </a:r>
            <a:r>
              <a:rPr lang="es-MX" sz="1400" b="1" baseline="0">
                <a:solidFill>
                  <a:srgbClr val="464555"/>
                </a:solidFill>
              </a:rPr>
              <a:t> DE METAS MENSUALES</a:t>
            </a:r>
            <a:endParaRPr lang="es-MX" sz="1400" b="1">
              <a:solidFill>
                <a:srgbClr val="464555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64555"/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ED957"/>
            </a:solidFill>
            <a:ln>
              <a:noFill/>
            </a:ln>
            <a:effectLst/>
          </c:spPr>
          <c:invertIfNegative val="0"/>
          <c:cat>
            <c:numRef>
              <c:f>'Informe Anual'!$C$104:$N$104</c:f>
              <c:numCache>
                <c:formatCode>mmm</c:formatCode>
                <c:ptCount val="12"/>
                <c:pt idx="0">
                  <c:v>45626</c:v>
                </c:pt>
                <c:pt idx="1">
                  <c:v>45657</c:v>
                </c:pt>
                <c:pt idx="2">
                  <c:v>45688</c:v>
                </c:pt>
                <c:pt idx="3">
                  <c:v>45716</c:v>
                </c:pt>
                <c:pt idx="4">
                  <c:v>45747</c:v>
                </c:pt>
                <c:pt idx="5">
                  <c:v>45777</c:v>
                </c:pt>
                <c:pt idx="6">
                  <c:v>45808</c:v>
                </c:pt>
                <c:pt idx="7">
                  <c:v>45838</c:v>
                </c:pt>
                <c:pt idx="8">
                  <c:v>45869</c:v>
                </c:pt>
                <c:pt idx="9">
                  <c:v>45900</c:v>
                </c:pt>
                <c:pt idx="10">
                  <c:v>45930</c:v>
                </c:pt>
                <c:pt idx="11">
                  <c:v>45961</c:v>
                </c:pt>
              </c:numCache>
            </c:numRef>
          </c:cat>
          <c:val>
            <c:numRef>
              <c:f>'Informe Anual'!$C$106:$N$106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282844485.81999999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D-4D51-ADDC-076EFD1CD566}"/>
            </c:ext>
          </c:extLst>
        </c:ser>
        <c:ser>
          <c:idx val="1"/>
          <c:order val="1"/>
          <c:spPr>
            <a:solidFill>
              <a:srgbClr val="FF914D"/>
            </a:solidFill>
            <a:ln>
              <a:noFill/>
            </a:ln>
            <a:effectLst/>
          </c:spPr>
          <c:invertIfNegative val="0"/>
          <c:cat>
            <c:numRef>
              <c:f>'Informe Anual'!$C$104:$N$104</c:f>
              <c:numCache>
                <c:formatCode>mmm</c:formatCode>
                <c:ptCount val="12"/>
                <c:pt idx="0">
                  <c:v>45626</c:v>
                </c:pt>
                <c:pt idx="1">
                  <c:v>45657</c:v>
                </c:pt>
                <c:pt idx="2">
                  <c:v>45688</c:v>
                </c:pt>
                <c:pt idx="3">
                  <c:v>45716</c:v>
                </c:pt>
                <c:pt idx="4">
                  <c:v>45747</c:v>
                </c:pt>
                <c:pt idx="5">
                  <c:v>45777</c:v>
                </c:pt>
                <c:pt idx="6">
                  <c:v>45808</c:v>
                </c:pt>
                <c:pt idx="7">
                  <c:v>45838</c:v>
                </c:pt>
                <c:pt idx="8">
                  <c:v>45869</c:v>
                </c:pt>
                <c:pt idx="9">
                  <c:v>45900</c:v>
                </c:pt>
                <c:pt idx="10">
                  <c:v>45930</c:v>
                </c:pt>
                <c:pt idx="11">
                  <c:v>45961</c:v>
                </c:pt>
              </c:numCache>
            </c:numRef>
          </c:cat>
          <c:val>
            <c:numRef>
              <c:f>'Informe Anual'!$C$105:$N$105</c:f>
              <c:numCache>
                <c:formatCode>_("$"* #,##0.00_);_("$"* \(#,##0.00\);_("$"* "-"??_);_(@_)</c:formatCode>
                <c:ptCount val="12"/>
                <c:pt idx="0">
                  <c:v>600000</c:v>
                </c:pt>
                <c:pt idx="1">
                  <c:v>600000</c:v>
                </c:pt>
                <c:pt idx="2">
                  <c:v>600000</c:v>
                </c:pt>
                <c:pt idx="3">
                  <c:v>600000</c:v>
                </c:pt>
                <c:pt idx="4">
                  <c:v>600000</c:v>
                </c:pt>
                <c:pt idx="5">
                  <c:v>600000</c:v>
                </c:pt>
                <c:pt idx="6">
                  <c:v>600000</c:v>
                </c:pt>
                <c:pt idx="7">
                  <c:v>600000</c:v>
                </c:pt>
                <c:pt idx="8">
                  <c:v>600000</c:v>
                </c:pt>
                <c:pt idx="9">
                  <c:v>1200000</c:v>
                </c:pt>
                <c:pt idx="10">
                  <c:v>1800000</c:v>
                </c:pt>
                <c:pt idx="11">
                  <c:v>3600000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D-4D51-ADDC-076EFD1CD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2531904"/>
        <c:axId val="1262537184"/>
      </c:barChart>
      <c:dateAx>
        <c:axId val="1262531904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s-AR"/>
          </a:p>
        </c:txPr>
        <c:crossAx val="1262537184"/>
        <c:crosses val="autoZero"/>
        <c:auto val="1"/>
        <c:lblOffset val="100"/>
        <c:baseTimeUnit val="months"/>
      </c:dateAx>
      <c:valAx>
        <c:axId val="126253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s-AR"/>
          </a:p>
        </c:txPr>
        <c:crossAx val="126253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" panose="020F0502020204030204" pitchFamily="34" charset="0"/>
          <a:cs typeface="Calibri" panose="020F0502020204030204" pitchFamily="34" charset="0"/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r>
              <a:rPr lang="es-MX" sz="1600" b="1"/>
              <a:t>INGRESOS VS EGRESOS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Ingresos</c:v>
          </c:tx>
          <c:spPr>
            <a:solidFill>
              <a:srgbClr val="0084FF"/>
            </a:solidFill>
            <a:ln>
              <a:noFill/>
            </a:ln>
            <a:effectLst/>
          </c:spPr>
          <c:invertIfNegative val="0"/>
          <c:cat>
            <c:numRef>
              <c:f>Flujo!$C$6:$N$6</c:f>
              <c:numCache>
                <c:formatCode>mmm</c:formatCode>
                <c:ptCount val="12"/>
                <c:pt idx="0">
                  <c:v>45626</c:v>
                </c:pt>
                <c:pt idx="1">
                  <c:v>45657</c:v>
                </c:pt>
                <c:pt idx="2">
                  <c:v>45688</c:v>
                </c:pt>
                <c:pt idx="3">
                  <c:v>45716</c:v>
                </c:pt>
                <c:pt idx="4">
                  <c:v>45747</c:v>
                </c:pt>
                <c:pt idx="5">
                  <c:v>45777</c:v>
                </c:pt>
                <c:pt idx="6">
                  <c:v>45808</c:v>
                </c:pt>
                <c:pt idx="7">
                  <c:v>45838</c:v>
                </c:pt>
                <c:pt idx="8">
                  <c:v>45869</c:v>
                </c:pt>
                <c:pt idx="9">
                  <c:v>45900</c:v>
                </c:pt>
                <c:pt idx="10">
                  <c:v>45930</c:v>
                </c:pt>
                <c:pt idx="11">
                  <c:v>45961</c:v>
                </c:pt>
              </c:numCache>
            </c:numRef>
          </c:cat>
          <c:val>
            <c:numRef>
              <c:f>Flujo!$C$7:$N$7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282844485.82000005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03-4E15-BA5A-8455A6694D4F}"/>
            </c:ext>
          </c:extLst>
        </c:ser>
        <c:ser>
          <c:idx val="1"/>
          <c:order val="1"/>
          <c:tx>
            <c:v>Egresos</c:v>
          </c:tx>
          <c:spPr>
            <a:solidFill>
              <a:srgbClr val="FF5757"/>
            </a:solidFill>
            <a:ln>
              <a:noFill/>
            </a:ln>
            <a:effectLst/>
          </c:spPr>
          <c:invertIfNegative val="0"/>
          <c:cat>
            <c:numRef>
              <c:f>Flujo!$C$6:$N$6</c:f>
              <c:numCache>
                <c:formatCode>mmm</c:formatCode>
                <c:ptCount val="12"/>
                <c:pt idx="0">
                  <c:v>45626</c:v>
                </c:pt>
                <c:pt idx="1">
                  <c:v>45657</c:v>
                </c:pt>
                <c:pt idx="2">
                  <c:v>45688</c:v>
                </c:pt>
                <c:pt idx="3">
                  <c:v>45716</c:v>
                </c:pt>
                <c:pt idx="4">
                  <c:v>45747</c:v>
                </c:pt>
                <c:pt idx="5">
                  <c:v>45777</c:v>
                </c:pt>
                <c:pt idx="6">
                  <c:v>45808</c:v>
                </c:pt>
                <c:pt idx="7">
                  <c:v>45838</c:v>
                </c:pt>
                <c:pt idx="8">
                  <c:v>45869</c:v>
                </c:pt>
                <c:pt idx="9">
                  <c:v>45900</c:v>
                </c:pt>
                <c:pt idx="10">
                  <c:v>45930</c:v>
                </c:pt>
                <c:pt idx="11">
                  <c:v>45961</c:v>
                </c:pt>
              </c:numCache>
            </c:numRef>
          </c:cat>
          <c:val>
            <c:numRef>
              <c:f>Flujo!$C$8:$N$8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91193519.926000029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03-4E15-BA5A-8455A6694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761439"/>
        <c:axId val="2114526799"/>
      </c:barChart>
      <c:dateAx>
        <c:axId val="133761439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s-AR"/>
          </a:p>
        </c:txPr>
        <c:crossAx val="2114526799"/>
        <c:crosses val="autoZero"/>
        <c:auto val="1"/>
        <c:lblOffset val="100"/>
        <c:baseTimeUnit val="months"/>
      </c:dateAx>
      <c:valAx>
        <c:axId val="211452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s-AR"/>
          </a:p>
        </c:txPr>
        <c:crossAx val="133761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" panose="020F0502020204030204" pitchFamily="34" charset="0"/>
          <a:cs typeface="Calibri" panose="020F0502020204030204" pitchFamily="34" charset="0"/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r>
              <a:rPr lang="es-MX" sz="1600" b="1"/>
              <a:t>SALDO 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84FF"/>
              </a:solidFill>
              <a:round/>
            </a:ln>
            <a:effectLst/>
          </c:spPr>
          <c:marker>
            <c:symbol val="none"/>
          </c:marker>
          <c:cat>
            <c:numRef>
              <c:f>Flujo!$C$6:$N$6</c:f>
              <c:numCache>
                <c:formatCode>mmm</c:formatCode>
                <c:ptCount val="12"/>
                <c:pt idx="0">
                  <c:v>45626</c:v>
                </c:pt>
                <c:pt idx="1">
                  <c:v>45657</c:v>
                </c:pt>
                <c:pt idx="2">
                  <c:v>45688</c:v>
                </c:pt>
                <c:pt idx="3">
                  <c:v>45716</c:v>
                </c:pt>
                <c:pt idx="4">
                  <c:v>45747</c:v>
                </c:pt>
                <c:pt idx="5">
                  <c:v>45777</c:v>
                </c:pt>
                <c:pt idx="6">
                  <c:v>45808</c:v>
                </c:pt>
                <c:pt idx="7">
                  <c:v>45838</c:v>
                </c:pt>
                <c:pt idx="8">
                  <c:v>45869</c:v>
                </c:pt>
                <c:pt idx="9">
                  <c:v>45900</c:v>
                </c:pt>
                <c:pt idx="10">
                  <c:v>45930</c:v>
                </c:pt>
                <c:pt idx="11">
                  <c:v>45961</c:v>
                </c:pt>
              </c:numCache>
            </c:numRef>
          </c:cat>
          <c:val>
            <c:numRef>
              <c:f>Flujo!$C$11:$N$11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191650965.89400002</c:v>
                </c:pt>
                <c:pt idx="2">
                  <c:v>191650965.89400002</c:v>
                </c:pt>
                <c:pt idx="3">
                  <c:v>191650965.89400002</c:v>
                </c:pt>
                <c:pt idx="4">
                  <c:v>191650965.89400002</c:v>
                </c:pt>
                <c:pt idx="5">
                  <c:v>191650965.89400002</c:v>
                </c:pt>
                <c:pt idx="6">
                  <c:v>191650965.89400002</c:v>
                </c:pt>
                <c:pt idx="7">
                  <c:v>191650965.89400002</c:v>
                </c:pt>
                <c:pt idx="8">
                  <c:v>191650965.89400002</c:v>
                </c:pt>
                <c:pt idx="9">
                  <c:v>191650965.89400002</c:v>
                </c:pt>
                <c:pt idx="10">
                  <c:v>191650965.89400002</c:v>
                </c:pt>
                <c:pt idx="11">
                  <c:v>191650965.89400002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0F-4164-A5DF-FEDC4D30E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382399"/>
        <c:axId val="182360319"/>
      </c:lineChart>
      <c:dateAx>
        <c:axId val="182382399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s-AR"/>
          </a:p>
        </c:txPr>
        <c:crossAx val="182360319"/>
        <c:crosses val="autoZero"/>
        <c:auto val="1"/>
        <c:lblOffset val="100"/>
        <c:baseTimeUnit val="months"/>
      </c:dateAx>
      <c:valAx>
        <c:axId val="18236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s-AR"/>
          </a:p>
        </c:txPr>
        <c:crossAx val="182382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libri" panose="020F0502020204030204" pitchFamily="34" charset="0"/>
          <a:cs typeface="Calibri" panose="020F0502020204030204" pitchFamily="34" charset="0"/>
        </a:defRPr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1181100</xdr:colOff>
      <xdr:row>4</xdr:row>
      <xdr:rowOff>38100</xdr:rowOff>
    </xdr:from>
    <xdr:to>
      <xdr:col>1</xdr:col>
      <xdr:colOff>1362075</xdr:colOff>
      <xdr:row>4</xdr:row>
      <xdr:rowOff>219075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7AB6D3B-69E1-3709-3297-3D7A906E0DAB}"/>
            </a:ext>
          </a:extLst>
        </xdr:cNvPr>
        <xdr:cNvSpPr/>
      </xdr:nvSpPr>
      <xdr:spPr>
        <a:xfrm>
          <a:off x="2228850" y="1028700"/>
          <a:ext cx="180975" cy="180975"/>
        </a:xfrm>
        <a:prstGeom prst="roundRect">
          <a:avLst/>
        </a:prstGeom>
        <a:solidFill>
          <a:schemeClr val="bg1"/>
        </a:solidFill>
        <a:ln>
          <a:solidFill>
            <a:srgbClr val="4645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1800225</xdr:colOff>
      <xdr:row>4</xdr:row>
      <xdr:rowOff>38100</xdr:rowOff>
    </xdr:from>
    <xdr:to>
      <xdr:col>3</xdr:col>
      <xdr:colOff>1981200</xdr:colOff>
      <xdr:row>4</xdr:row>
      <xdr:rowOff>219075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1C15D4B-1025-41C6-9DB0-B227FECF87A0}"/>
            </a:ext>
          </a:extLst>
        </xdr:cNvPr>
        <xdr:cNvSpPr/>
      </xdr:nvSpPr>
      <xdr:spPr>
        <a:xfrm>
          <a:off x="6610350" y="1028700"/>
          <a:ext cx="180975" cy="18097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solidFill>
            <a:srgbClr val="4645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2064768</xdr:colOff>
      <xdr:row>4</xdr:row>
      <xdr:rowOff>76200</xdr:rowOff>
    </xdr:from>
    <xdr:to>
      <xdr:col>3</xdr:col>
      <xdr:colOff>2295525</xdr:colOff>
      <xdr:row>4</xdr:row>
      <xdr:rowOff>190500</xdr:rowOff>
    </xdr:to>
    <xdr:sp macro="" textlink="">
      <xdr:nvSpPr>
        <xdr:cNvPr id="4" name="Flecha: a la derecha 3">
          <a:extLst>
            <a:ext uri="{FF2B5EF4-FFF2-40B4-BE49-F238E27FC236}">
              <a16:creationId xmlns:a16="http://schemas.microsoft.com/office/drawing/2014/main" id="{23D31955-BF42-6477-7FE9-366C35C66BD1}"/>
            </a:ext>
          </a:extLst>
        </xdr:cNvPr>
        <xdr:cNvSpPr/>
      </xdr:nvSpPr>
      <xdr:spPr>
        <a:xfrm>
          <a:off x="6874893" y="1066800"/>
          <a:ext cx="230757" cy="114300"/>
        </a:xfrm>
        <a:prstGeom prst="rightArrow">
          <a:avLst/>
        </a:prstGeom>
        <a:solidFill>
          <a:srgbClr val="FF575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1071963</xdr:colOff>
      <xdr:row>26</xdr:row>
      <xdr:rowOff>43263</xdr:rowOff>
    </xdr:from>
    <xdr:to>
      <xdr:col>1</xdr:col>
      <xdr:colOff>1156887</xdr:colOff>
      <xdr:row>26</xdr:row>
      <xdr:rowOff>214713</xdr:rowOff>
    </xdr:to>
    <xdr:sp macro="" textlink="">
      <xdr:nvSpPr>
        <xdr:cNvPr id="5" name="Flecha: a la derecha 4">
          <a:extLst>
            <a:ext uri="{FF2B5EF4-FFF2-40B4-BE49-F238E27FC236}">
              <a16:creationId xmlns:a16="http://schemas.microsoft.com/office/drawing/2014/main" id="{67270141-2A67-09E5-8FF2-D64680313177}"/>
            </a:ext>
          </a:extLst>
        </xdr:cNvPr>
        <xdr:cNvSpPr/>
      </xdr:nvSpPr>
      <xdr:spPr>
        <a:xfrm rot="16200000">
          <a:off x="2076450" y="6525426"/>
          <a:ext cx="171450" cy="84924"/>
        </a:xfrm>
        <a:prstGeom prst="rightArrow">
          <a:avLst/>
        </a:prstGeom>
        <a:solidFill>
          <a:srgbClr val="0084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17</xdr:row>
      <xdr:rowOff>28575</xdr:rowOff>
    </xdr:from>
    <xdr:to>
      <xdr:col>4</xdr:col>
      <xdr:colOff>1476375</xdr:colOff>
      <xdr:row>18</xdr:row>
      <xdr:rowOff>219075</xdr:rowOff>
    </xdr:to>
    <xdr:sp macro="[0]!RegistrarIngres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1D7B536-A644-40E3-A63C-DB4E4E67D438}"/>
            </a:ext>
          </a:extLst>
        </xdr:cNvPr>
        <xdr:cNvSpPr/>
      </xdr:nvSpPr>
      <xdr:spPr>
        <a:xfrm>
          <a:off x="2562225" y="4162425"/>
          <a:ext cx="2000250" cy="438150"/>
        </a:xfrm>
        <a:prstGeom prst="roundRect">
          <a:avLst/>
        </a:prstGeom>
        <a:solidFill>
          <a:srgbClr val="0084FF"/>
        </a:solidFill>
        <a:ln>
          <a:solidFill>
            <a:srgbClr val="0084FF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alibri" panose="020F0502020204030204" pitchFamily="34" charset="0"/>
              <a:cs typeface="Calibri" panose="020F0502020204030204" pitchFamily="34" charset="0"/>
            </a:rPr>
            <a:t>REGISTRAR</a:t>
          </a:r>
        </a:p>
      </xdr:txBody>
    </xdr:sp>
    <xdr:clientData/>
  </xdr:twoCellAnchor>
  <xdr:twoCellAnchor>
    <xdr:from>
      <xdr:col>9</xdr:col>
      <xdr:colOff>523875</xdr:colOff>
      <xdr:row>17</xdr:row>
      <xdr:rowOff>28575</xdr:rowOff>
    </xdr:from>
    <xdr:to>
      <xdr:col>10</xdr:col>
      <xdr:colOff>1476375</xdr:colOff>
      <xdr:row>18</xdr:row>
      <xdr:rowOff>219075</xdr:rowOff>
    </xdr:to>
    <xdr:sp macro="[0]!RegistrarEgres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E53655E-6201-42B1-8CDE-D5C8713D48A6}"/>
            </a:ext>
          </a:extLst>
        </xdr:cNvPr>
        <xdr:cNvSpPr/>
      </xdr:nvSpPr>
      <xdr:spPr>
        <a:xfrm>
          <a:off x="2562225" y="4162425"/>
          <a:ext cx="2000250" cy="438150"/>
        </a:xfrm>
        <a:prstGeom prst="roundRect">
          <a:avLst/>
        </a:prstGeom>
        <a:solidFill>
          <a:srgbClr val="FF5757"/>
        </a:solidFill>
        <a:ln>
          <a:solidFill>
            <a:srgbClr val="FF5757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alibri" panose="020F0502020204030204" pitchFamily="34" charset="0"/>
              <a:cs typeface="Calibri" panose="020F0502020204030204" pitchFamily="34" charset="0"/>
            </a:rPr>
            <a:t>REGISTRAR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4</xdr:row>
      <xdr:rowOff>114300</xdr:rowOff>
    </xdr:from>
    <xdr:to>
      <xdr:col>2</xdr:col>
      <xdr:colOff>819150</xdr:colOff>
      <xdr:row>4</xdr:row>
      <xdr:rowOff>295275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3670709-EBB4-40A0-8AEA-79590332842D}"/>
            </a:ext>
          </a:extLst>
        </xdr:cNvPr>
        <xdr:cNvSpPr/>
      </xdr:nvSpPr>
      <xdr:spPr>
        <a:xfrm>
          <a:off x="2647950" y="1104900"/>
          <a:ext cx="180975" cy="180975"/>
        </a:xfrm>
        <a:prstGeom prst="roundRect">
          <a:avLst/>
        </a:prstGeom>
        <a:solidFill>
          <a:schemeClr val="bg1"/>
        </a:solidFill>
        <a:ln>
          <a:solidFill>
            <a:srgbClr val="4645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</xdr:col>
      <xdr:colOff>638175</xdr:colOff>
      <xdr:row>5</xdr:row>
      <xdr:rowOff>133350</xdr:rowOff>
    </xdr:from>
    <xdr:to>
      <xdr:col>2</xdr:col>
      <xdr:colOff>819150</xdr:colOff>
      <xdr:row>5</xdr:row>
      <xdr:rowOff>314325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4547D79-27F1-41D2-9CA4-58099BDD3406}"/>
            </a:ext>
          </a:extLst>
        </xdr:cNvPr>
        <xdr:cNvSpPr/>
      </xdr:nvSpPr>
      <xdr:spPr>
        <a:xfrm>
          <a:off x="2647950" y="1504950"/>
          <a:ext cx="180975" cy="18097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solidFill>
            <a:srgbClr val="4645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781050</xdr:colOff>
      <xdr:row>4</xdr:row>
      <xdr:rowOff>114300</xdr:rowOff>
    </xdr:from>
    <xdr:to>
      <xdr:col>2</xdr:col>
      <xdr:colOff>962025</xdr:colOff>
      <xdr:row>4</xdr:row>
      <xdr:rowOff>295275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35B53AC-E0AC-4D75-BBF3-79A3FEC7DC7F}"/>
            </a:ext>
          </a:extLst>
        </xdr:cNvPr>
        <xdr:cNvSpPr/>
      </xdr:nvSpPr>
      <xdr:spPr>
        <a:xfrm>
          <a:off x="2790825" y="1104900"/>
          <a:ext cx="180975" cy="180975"/>
        </a:xfrm>
        <a:prstGeom prst="roundRect">
          <a:avLst/>
        </a:prstGeom>
        <a:solidFill>
          <a:schemeClr val="bg1"/>
        </a:solidFill>
        <a:ln>
          <a:solidFill>
            <a:srgbClr val="4645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</xdr:col>
      <xdr:colOff>781050</xdr:colOff>
      <xdr:row>5</xdr:row>
      <xdr:rowOff>133350</xdr:rowOff>
    </xdr:from>
    <xdr:to>
      <xdr:col>2</xdr:col>
      <xdr:colOff>962025</xdr:colOff>
      <xdr:row>5</xdr:row>
      <xdr:rowOff>314325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2DEB8A3-95B1-46B8-96BF-FC265C7037BB}"/>
            </a:ext>
          </a:extLst>
        </xdr:cNvPr>
        <xdr:cNvSpPr/>
      </xdr:nvSpPr>
      <xdr:spPr>
        <a:xfrm>
          <a:off x="2790825" y="1504950"/>
          <a:ext cx="180975" cy="180975"/>
        </a:xfrm>
        <a:prstGeom prst="roundRect">
          <a:avLst/>
        </a:prstGeom>
        <a:solidFill>
          <a:srgbClr val="FFE7EA"/>
        </a:solidFill>
        <a:ln>
          <a:solidFill>
            <a:srgbClr val="4645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228601</xdr:rowOff>
    </xdr:from>
    <xdr:to>
      <xdr:col>3</xdr:col>
      <xdr:colOff>485775</xdr:colOff>
      <xdr:row>17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BC27F40-9E2D-F0F9-E65E-B838B0BFF4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6</xdr:row>
      <xdr:rowOff>228600</xdr:rowOff>
    </xdr:from>
    <xdr:to>
      <xdr:col>6</xdr:col>
      <xdr:colOff>942975</xdr:colOff>
      <xdr:row>17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A29B3F3-56E6-40F6-BE68-3EC4A198C3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352425</xdr:colOff>
      <xdr:row>5</xdr:row>
      <xdr:rowOff>171450</xdr:rowOff>
    </xdr:from>
    <xdr:to>
      <xdr:col>0</xdr:col>
      <xdr:colOff>552450</xdr:colOff>
      <xdr:row>6</xdr:row>
      <xdr:rowOff>3960</xdr:rowOff>
    </xdr:to>
    <xdr:sp macro="" textlink="">
      <xdr:nvSpPr>
        <xdr:cNvPr id="6" name="Flecha: doblada 5">
          <a:extLst>
            <a:ext uri="{FF2B5EF4-FFF2-40B4-BE49-F238E27FC236}">
              <a16:creationId xmlns:a16="http://schemas.microsoft.com/office/drawing/2014/main" id="{B2B6AA9D-1E8D-D2E6-2520-6E3E860BD88C}"/>
            </a:ext>
          </a:extLst>
        </xdr:cNvPr>
        <xdr:cNvSpPr/>
      </xdr:nvSpPr>
      <xdr:spPr>
        <a:xfrm>
          <a:off x="352425" y="1543050"/>
          <a:ext cx="200025" cy="213510"/>
        </a:xfrm>
        <a:prstGeom prst="bentArrow">
          <a:avLst/>
        </a:prstGeom>
        <a:solidFill>
          <a:srgbClr val="0084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1895475</xdr:colOff>
      <xdr:row>7</xdr:row>
      <xdr:rowOff>9525</xdr:rowOff>
    </xdr:from>
    <xdr:to>
      <xdr:col>9</xdr:col>
      <xdr:colOff>1704975</xdr:colOff>
      <xdr:row>16</xdr:row>
      <xdr:rowOff>200025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1E03166-F6B2-86CF-6154-B3CC5E3A8A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6</xdr:row>
      <xdr:rowOff>114300</xdr:rowOff>
    </xdr:from>
    <xdr:to>
      <xdr:col>4</xdr:col>
      <xdr:colOff>561975</xdr:colOff>
      <xdr:row>17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FB177CF-F769-0674-2F60-C5D1DC31DD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781049</xdr:colOff>
      <xdr:row>6</xdr:row>
      <xdr:rowOff>123825</xdr:rowOff>
    </xdr:from>
    <xdr:to>
      <xdr:col>9</xdr:col>
      <xdr:colOff>0</xdr:colOff>
      <xdr:row>17</xdr:row>
      <xdr:rowOff>142875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709FBB7-343B-CABB-2710-C421F4644D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247649</xdr:colOff>
      <xdr:row>6</xdr:row>
      <xdr:rowOff>123825</xdr:rowOff>
    </xdr:from>
    <xdr:to>
      <xdr:col>14</xdr:col>
      <xdr:colOff>123824</xdr:colOff>
      <xdr:row>17</xdr:row>
      <xdr:rowOff>142875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938ECF1-9676-F9AD-1CE5-C78A5617E8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11</xdr:row>
      <xdr:rowOff>238124</xdr:rowOff>
    </xdr:from>
    <xdr:to>
      <xdr:col>6</xdr:col>
      <xdr:colOff>0</xdr:colOff>
      <xdr:row>25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EF65B12-D13C-FAE7-B918-5573006DC2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1247774</xdr:colOff>
      <xdr:row>11</xdr:row>
      <xdr:rowOff>238124</xdr:rowOff>
    </xdr:from>
    <xdr:to>
      <xdr:col>13</xdr:col>
      <xdr:colOff>1238250</xdr:colOff>
      <xdr:row>24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389A8FA-7418-FFA2-7C74-E2BDE094C4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Ingresos" displayName="TablaIngresos" ref="B8:K201" totalsRowShown="0" headerRowDxfId="87" dataDxfId="86" tableBorderDxfId="85">
  <autoFilter ref="B8:K201" xr:uid="{00000000-0009-0000-0100-000001000000}"/>
  <sortState xmlns:xlrd2="http://schemas.microsoft.com/office/spreadsheetml/2017/richdata2" ref="B138:K161">
    <sortCondition ref="B138"/>
  </sortState>
  <tableColumns count="10">
    <tableColumn id="1" xr3:uid="{00000000-0010-0000-0000-000001000000}" name="Fecha" dataDxfId="84"/>
    <tableColumn id="2" xr3:uid="{00000000-0010-0000-0000-000002000000}" name="Mes" dataDxfId="83">
      <calculatedColumnFormula>IF(Ingresos!$B9="","",TEXT(Ingresos!$B9,"MMMM" ))</calculatedColumnFormula>
    </tableColumn>
    <tableColumn id="3" xr3:uid="{00000000-0010-0000-0000-000003000000}" name="Categoría" dataDxfId="82"/>
    <tableColumn id="4" xr3:uid="{00000000-0010-0000-0000-000004000000}" name="Descripción" dataDxfId="81"/>
    <tableColumn id="5" xr3:uid="{00000000-0010-0000-0000-000005000000}" name="Método de Pago" dataDxfId="80"/>
    <tableColumn id="6" xr3:uid="{00000000-0010-0000-0000-000006000000}" name="Ingreso" dataDxfId="79"/>
    <tableColumn id="7" xr3:uid="{00000000-0010-0000-0000-000007000000}" name="Impuesto" dataDxfId="78"/>
    <tableColumn id="8" xr3:uid="{00000000-0010-0000-0000-000008000000}" name="% de Impuesto" dataDxfId="77">
      <calculatedColumnFormula>IF(TablaIngresos[[#This Row],[Impuesto]]="Si",Configuración!$B$20,0)</calculatedColumnFormula>
    </tableColumn>
    <tableColumn id="9" xr3:uid="{00000000-0010-0000-0000-000009000000}" name="Total Impuesto" dataDxfId="76">
      <calculatedColumnFormula>TablaIngresos[[#This Row],[Ingreso]]*TablaIngresos[[#This Row],[% de Impuesto]]</calculatedColumnFormula>
    </tableColumn>
    <tableColumn id="10" xr3:uid="{00000000-0010-0000-0000-00000A000000}" name="Ingreso Neto" dataDxfId="75">
      <calculatedColumnFormula>TablaIngresos[[#This Row],[Ingreso]]-TablaIngresos[[#This Row],[Total Impuesto]]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Egreso" displayName="TablaEgreso" ref="B8:K503" totalsRowShown="0" headerRowDxfId="64" dataDxfId="62" headerRowBorderDxfId="63" tableBorderDxfId="61">
  <autoFilter ref="B8:K503" xr:uid="{00000000-0009-0000-0100-000002000000}"/>
  <sortState xmlns:xlrd2="http://schemas.microsoft.com/office/spreadsheetml/2017/richdata2" ref="B15:K319">
    <sortCondition descending="1" ref="E8:E327"/>
  </sortState>
  <tableColumns count="10">
    <tableColumn id="1" xr3:uid="{00000000-0010-0000-0100-000001000000}" name="Fecha" dataDxfId="60"/>
    <tableColumn id="2" xr3:uid="{00000000-0010-0000-0100-000002000000}" name="Mes" dataDxfId="59">
      <calculatedColumnFormula>IF(Egresos!$B9="","",TEXT(Egresos!$B9,"MMMM" ))</calculatedColumnFormula>
    </tableColumn>
    <tableColumn id="3" xr3:uid="{00000000-0010-0000-0100-000003000000}" name="Categoría" dataDxfId="58"/>
    <tableColumn id="4" xr3:uid="{00000000-0010-0000-0100-000004000000}" name="Descripción" dataDxfId="57"/>
    <tableColumn id="5" xr3:uid="{00000000-0010-0000-0100-000005000000}" name="Método de Pago" dataDxfId="56"/>
    <tableColumn id="6" xr3:uid="{00000000-0010-0000-0100-000006000000}" name="Egreso sin C.F." dataDxfId="55">
      <calculatedColumnFormula>TablaEgreso[[#This Row],[Egreso Total]]-TablaEgreso[[#This Row],[Total Crédito Fiscal]]</calculatedColumnFormula>
    </tableColumn>
    <tableColumn id="7" xr3:uid="{00000000-0010-0000-0100-000007000000}" name="Crédito Fiscal" dataDxfId="54"/>
    <tableColumn id="8" xr3:uid="{00000000-0010-0000-0100-000008000000}" name="% de Crédito Fiscal" dataDxfId="53">
      <calculatedColumnFormula>IF(TablaEgreso[[#This Row],[Crédito Fiscal]]="Si",Configuración!$B$26,0)</calculatedColumnFormula>
    </tableColumn>
    <tableColumn id="9" xr3:uid="{00000000-0010-0000-0100-000009000000}" name="Total Crédito Fiscal" dataDxfId="52">
      <calculatedColumnFormula>TablaEgreso[[#This Row],[Egreso Total]]*TablaEgreso[[#This Row],[% de Crédito Fiscal]]</calculatedColumnFormula>
    </tableColumn>
    <tableColumn id="10" xr3:uid="{00000000-0010-0000-0100-00000A000000}" name="Egreso Total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tabColor rgb="FF464555"/>
  </sheetPr>
  <dimension ref="A1:L61"/>
  <sheetViews>
    <sheetView topLeftCell="B18" zoomScale="80" zoomScaleNormal="80" workbookViewId="0">
      <selection activeCell="E9" sqref="E9:E44"/>
    </sheetView>
  </sheetViews>
  <sheetFormatPr baseColWidth="10" defaultRowHeight="20.100000000000001" customHeight="1" x14ac:dyDescent="0.25"/>
  <cols>
    <col min="1" max="1" width="15.7109375" style="1" customWidth="1"/>
    <col min="2" max="2" width="35.7109375" style="1" customWidth="1"/>
    <col min="3" max="3" width="15.7109375" style="1" customWidth="1"/>
    <col min="4" max="4" width="35.7109375" style="1" customWidth="1"/>
    <col min="5" max="5" width="45.85546875" style="1" bestFit="1" customWidth="1"/>
    <col min="6" max="6" width="24.140625" style="1" bestFit="1" customWidth="1"/>
    <col min="7" max="7" width="26" style="1" bestFit="1" customWidth="1"/>
    <col min="8" max="8" width="15.7109375" style="1" customWidth="1"/>
    <col min="9" max="9" width="20.7109375" style="1" customWidth="1"/>
    <col min="10" max="10" width="18.7109375" style="1" customWidth="1"/>
    <col min="11" max="11" width="20.7109375" style="1" customWidth="1"/>
    <col min="12" max="12" width="11.42578125" style="9"/>
    <col min="13" max="16384" width="11.42578125" style="1"/>
  </cols>
  <sheetData>
    <row r="1" spans="1:12" ht="20.100000000000001" customHeight="1" x14ac:dyDescent="0.25">
      <c r="A1" s="37"/>
      <c r="B1" s="37"/>
      <c r="C1" s="37"/>
      <c r="D1" s="155" t="s">
        <v>18</v>
      </c>
      <c r="E1" s="155"/>
      <c r="F1" s="155"/>
      <c r="G1" s="155"/>
      <c r="H1" s="155"/>
      <c r="I1" s="37"/>
      <c r="J1" s="37"/>
      <c r="K1" s="37"/>
      <c r="L1" s="37"/>
    </row>
    <row r="2" spans="1:12" ht="20.100000000000001" customHeight="1" x14ac:dyDescent="0.25">
      <c r="A2" s="37"/>
      <c r="B2" s="37"/>
      <c r="C2" s="37"/>
      <c r="D2" s="155"/>
      <c r="E2" s="155"/>
      <c r="F2" s="155"/>
      <c r="G2" s="155"/>
      <c r="H2" s="155"/>
      <c r="I2" s="37"/>
      <c r="J2" s="37"/>
      <c r="K2" s="37"/>
      <c r="L2" s="37"/>
    </row>
    <row r="3" spans="1:12" ht="20.100000000000001" customHeight="1" x14ac:dyDescent="0.25">
      <c r="A3" s="37"/>
      <c r="B3" s="37"/>
      <c r="C3" s="37"/>
      <c r="D3" s="155"/>
      <c r="E3" s="155"/>
      <c r="F3" s="155"/>
      <c r="G3" s="155"/>
      <c r="H3" s="155"/>
      <c r="I3" s="37"/>
      <c r="J3" s="37"/>
      <c r="K3" s="37"/>
      <c r="L3" s="37"/>
    </row>
    <row r="4" spans="1:12" s="9" customFormat="1" ht="20.100000000000001" customHeight="1" x14ac:dyDescent="0.25"/>
    <row r="5" spans="1:12" s="9" customFormat="1" ht="20.100000000000001" customHeight="1" x14ac:dyDescent="0.25">
      <c r="B5" s="11" t="s">
        <v>20</v>
      </c>
      <c r="D5" s="11" t="s">
        <v>21</v>
      </c>
      <c r="E5" s="157" t="s">
        <v>96</v>
      </c>
      <c r="F5" s="157"/>
    </row>
    <row r="6" spans="1:12" s="9" customFormat="1" ht="20.100000000000001" customHeight="1" x14ac:dyDescent="0.25"/>
    <row r="7" spans="1:12" ht="20.100000000000001" customHeight="1" x14ac:dyDescent="0.25">
      <c r="A7" s="9"/>
      <c r="B7" s="2" t="s">
        <v>0</v>
      </c>
      <c r="C7" s="9"/>
      <c r="D7" s="156" t="s">
        <v>6</v>
      </c>
      <c r="E7" s="156"/>
      <c r="F7" s="9"/>
      <c r="G7" s="2" t="s">
        <v>11</v>
      </c>
      <c r="H7" s="9"/>
      <c r="I7" s="153" t="s">
        <v>54</v>
      </c>
      <c r="J7" s="154"/>
      <c r="K7" s="154"/>
    </row>
    <row r="8" spans="1:12" ht="20.100000000000001" customHeight="1" x14ac:dyDescent="0.25">
      <c r="A8" s="9"/>
      <c r="B8" s="3" t="s">
        <v>1</v>
      </c>
      <c r="C8" s="9"/>
      <c r="D8" s="5" t="s">
        <v>7</v>
      </c>
      <c r="E8" s="5" t="s">
        <v>10</v>
      </c>
      <c r="F8" s="9"/>
      <c r="G8" s="7" t="s">
        <v>147</v>
      </c>
      <c r="H8" s="9"/>
      <c r="I8" s="5" t="s">
        <v>17</v>
      </c>
      <c r="J8" s="95">
        <f>SUM(J12:J23)</f>
        <v>1</v>
      </c>
      <c r="K8" s="8">
        <f>SUM(K12:K23)</f>
        <v>12000000</v>
      </c>
    </row>
    <row r="9" spans="1:12" ht="20.100000000000001" customHeight="1" x14ac:dyDescent="0.25">
      <c r="A9" s="9"/>
      <c r="B9" s="9"/>
      <c r="C9" s="9"/>
      <c r="D9" s="7" t="s">
        <v>435</v>
      </c>
      <c r="E9" s="7" t="s">
        <v>98</v>
      </c>
      <c r="F9" s="9"/>
      <c r="G9" s="7" t="s">
        <v>118</v>
      </c>
      <c r="H9" s="9"/>
      <c r="I9" s="9"/>
      <c r="J9" s="9"/>
      <c r="K9" s="9"/>
    </row>
    <row r="10" spans="1:12" ht="20.100000000000001" customHeight="1" x14ac:dyDescent="0.25">
      <c r="A10" s="9"/>
      <c r="B10" s="2" t="s">
        <v>3</v>
      </c>
      <c r="C10" s="9"/>
      <c r="D10" s="7" t="s">
        <v>132</v>
      </c>
      <c r="E10" s="7" t="s">
        <v>99</v>
      </c>
      <c r="F10" s="9"/>
      <c r="G10" s="7" t="s">
        <v>119</v>
      </c>
      <c r="H10" s="9"/>
      <c r="I10" s="151" t="s">
        <v>55</v>
      </c>
      <c r="J10" s="152"/>
      <c r="K10" s="152"/>
    </row>
    <row r="11" spans="1:12" ht="20.100000000000001" customHeight="1" x14ac:dyDescent="0.25">
      <c r="A11" s="9"/>
      <c r="B11" s="3">
        <v>2024</v>
      </c>
      <c r="C11" s="9"/>
      <c r="D11" s="7" t="s">
        <v>134</v>
      </c>
      <c r="E11" s="7" t="s">
        <v>100</v>
      </c>
      <c r="F11" s="9"/>
      <c r="G11" s="7" t="s">
        <v>120</v>
      </c>
      <c r="H11" s="9"/>
      <c r="I11" s="97" t="s">
        <v>15</v>
      </c>
      <c r="J11" s="97" t="s">
        <v>90</v>
      </c>
      <c r="K11" s="98" t="s">
        <v>16</v>
      </c>
    </row>
    <row r="12" spans="1:12" ht="20.100000000000001" customHeight="1" x14ac:dyDescent="0.25">
      <c r="A12" s="9"/>
      <c r="B12" s="9"/>
      <c r="C12" s="9"/>
      <c r="D12" s="7" t="s">
        <v>133</v>
      </c>
      <c r="E12" s="7" t="s">
        <v>8</v>
      </c>
      <c r="F12" s="9"/>
      <c r="G12" s="7" t="s">
        <v>150</v>
      </c>
      <c r="H12" s="66"/>
      <c r="I12" s="99">
        <f>EOMONTH($B$33,ROWS($I$12:I12)-1)</f>
        <v>45626</v>
      </c>
      <c r="J12" s="100">
        <v>0.05</v>
      </c>
      <c r="K12" s="101">
        <f>$B$23*J12</f>
        <v>600000</v>
      </c>
    </row>
    <row r="13" spans="1:12" ht="20.100000000000001" customHeight="1" x14ac:dyDescent="0.25">
      <c r="A13" s="9"/>
      <c r="B13" s="2" t="s">
        <v>2</v>
      </c>
      <c r="C13" s="9"/>
      <c r="D13" s="7" t="s">
        <v>434</v>
      </c>
      <c r="E13" s="7" t="s">
        <v>136</v>
      </c>
      <c r="F13" s="9"/>
      <c r="G13" s="7" t="s">
        <v>121</v>
      </c>
      <c r="H13" s="9"/>
      <c r="I13" s="99">
        <f>EOMONTH($B$33,ROWS($I$12:I13)-1)</f>
        <v>45657</v>
      </c>
      <c r="J13" s="100">
        <v>0.05</v>
      </c>
      <c r="K13" s="101">
        <f t="shared" ref="K13:K23" si="0">$B$23*J13</f>
        <v>600000</v>
      </c>
    </row>
    <row r="14" spans="1:12" ht="20.100000000000001" customHeight="1" x14ac:dyDescent="0.25">
      <c r="A14" s="9"/>
      <c r="B14" s="3" t="s">
        <v>124</v>
      </c>
      <c r="C14" s="9"/>
      <c r="D14" s="7" t="s">
        <v>131</v>
      </c>
      <c r="E14" s="7" t="s">
        <v>101</v>
      </c>
      <c r="F14" s="9"/>
      <c r="G14" s="7" t="s">
        <v>122</v>
      </c>
      <c r="H14" s="9"/>
      <c r="I14" s="99">
        <f>EOMONTH($B$33,ROWS($I$12:I14)-1)</f>
        <v>45688</v>
      </c>
      <c r="J14" s="100">
        <v>0.05</v>
      </c>
      <c r="K14" s="101">
        <f t="shared" si="0"/>
        <v>600000</v>
      </c>
    </row>
    <row r="15" spans="1:12" ht="20.100000000000001" customHeight="1" x14ac:dyDescent="0.25">
      <c r="A15" s="9"/>
      <c r="B15" s="9"/>
      <c r="C15" s="9"/>
      <c r="D15" s="7" t="s">
        <v>127</v>
      </c>
      <c r="E15" s="7" t="s">
        <v>102</v>
      </c>
      <c r="F15" s="9"/>
      <c r="G15" s="7" t="s">
        <v>433</v>
      </c>
      <c r="H15" s="66"/>
      <c r="I15" s="99">
        <f>EOMONTH($B$33,ROWS($I$12:I15)-1)</f>
        <v>45716</v>
      </c>
      <c r="J15" s="100">
        <v>0.05</v>
      </c>
      <c r="K15" s="101">
        <f t="shared" si="0"/>
        <v>600000</v>
      </c>
    </row>
    <row r="16" spans="1:12" ht="20.100000000000001" customHeight="1" x14ac:dyDescent="0.25">
      <c r="A16" s="9"/>
      <c r="B16" s="2" t="s">
        <v>4</v>
      </c>
      <c r="C16" s="9"/>
      <c r="D16" s="7" t="s">
        <v>130</v>
      </c>
      <c r="E16" s="7" t="s">
        <v>103</v>
      </c>
      <c r="F16" s="9"/>
      <c r="G16" s="7" t="s">
        <v>14</v>
      </c>
      <c r="H16" s="9"/>
      <c r="I16" s="99">
        <f>EOMONTH($B$33,ROWS($I$12:I16)-1)</f>
        <v>45747</v>
      </c>
      <c r="J16" s="100">
        <v>0.05</v>
      </c>
      <c r="K16" s="101">
        <f t="shared" si="0"/>
        <v>600000</v>
      </c>
    </row>
    <row r="17" spans="1:11" ht="20.100000000000001" customHeight="1" x14ac:dyDescent="0.25">
      <c r="A17" s="9"/>
      <c r="B17" s="3" t="s">
        <v>125</v>
      </c>
      <c r="C17" s="9"/>
      <c r="D17" s="7" t="s">
        <v>126</v>
      </c>
      <c r="E17" s="7" t="s">
        <v>104</v>
      </c>
      <c r="F17" s="9"/>
      <c r="G17" s="7" t="s">
        <v>12</v>
      </c>
      <c r="H17" s="9"/>
      <c r="I17" s="99">
        <f>EOMONTH($B$33,ROWS($I$12:I17)-1)</f>
        <v>45777</v>
      </c>
      <c r="J17" s="100">
        <v>0.05</v>
      </c>
      <c r="K17" s="101">
        <f t="shared" si="0"/>
        <v>600000</v>
      </c>
    </row>
    <row r="18" spans="1:11" ht="20.100000000000001" customHeight="1" x14ac:dyDescent="0.25">
      <c r="A18" s="9"/>
      <c r="B18" s="9"/>
      <c r="C18" s="9"/>
      <c r="D18" s="7" t="s">
        <v>129</v>
      </c>
      <c r="E18" s="7" t="s">
        <v>105</v>
      </c>
      <c r="F18" s="9"/>
      <c r="G18" s="7" t="s">
        <v>123</v>
      </c>
      <c r="H18" s="66"/>
      <c r="I18" s="99">
        <f>EOMONTH($B$33,ROWS($I$12:I18)-1)</f>
        <v>45808</v>
      </c>
      <c r="J18" s="100">
        <v>0.05</v>
      </c>
      <c r="K18" s="101">
        <f t="shared" si="0"/>
        <v>600000</v>
      </c>
    </row>
    <row r="19" spans="1:11" ht="20.100000000000001" customHeight="1" x14ac:dyDescent="0.25">
      <c r="A19" s="9"/>
      <c r="B19" s="2" t="s">
        <v>5</v>
      </c>
      <c r="C19" s="9"/>
      <c r="D19" s="7" t="s">
        <v>128</v>
      </c>
      <c r="E19" s="7" t="s">
        <v>148</v>
      </c>
      <c r="F19" s="9"/>
      <c r="G19" s="7" t="s">
        <v>13</v>
      </c>
      <c r="H19" s="9"/>
      <c r="I19" s="99">
        <f>EOMONTH($B$33,ROWS($I$12:I19)-1)</f>
        <v>45838</v>
      </c>
      <c r="J19" s="100">
        <v>0.05</v>
      </c>
      <c r="K19" s="101">
        <f t="shared" si="0"/>
        <v>600000</v>
      </c>
    </row>
    <row r="20" spans="1:11" ht="20.100000000000001" customHeight="1" x14ac:dyDescent="0.25">
      <c r="A20" s="9"/>
      <c r="B20" s="4">
        <v>0</v>
      </c>
      <c r="C20" s="9"/>
      <c r="D20" s="9"/>
      <c r="E20" s="7" t="s">
        <v>142</v>
      </c>
      <c r="F20" s="9"/>
      <c r="G20" s="9"/>
      <c r="H20" s="9"/>
      <c r="I20" s="99">
        <f>EOMONTH($B$33,ROWS($I$12:I20)-1)</f>
        <v>45869</v>
      </c>
      <c r="J20" s="100">
        <v>0.05</v>
      </c>
      <c r="K20" s="101">
        <f t="shared" si="0"/>
        <v>600000</v>
      </c>
    </row>
    <row r="21" spans="1:11" ht="20.100000000000001" customHeight="1" x14ac:dyDescent="0.25">
      <c r="A21" s="9"/>
      <c r="B21" s="9"/>
      <c r="C21" s="9"/>
      <c r="E21" s="7" t="s">
        <v>149</v>
      </c>
      <c r="F21" s="9"/>
      <c r="G21" s="9"/>
      <c r="H21" s="66"/>
      <c r="I21" s="99">
        <f>EOMONTH($B$33,ROWS($I$12:I21)-1)</f>
        <v>45900</v>
      </c>
      <c r="J21" s="100">
        <v>0.1</v>
      </c>
      <c r="K21" s="101">
        <f t="shared" si="0"/>
        <v>1200000</v>
      </c>
    </row>
    <row r="22" spans="1:11" ht="20.100000000000001" customHeight="1" x14ac:dyDescent="0.25">
      <c r="A22" s="9"/>
      <c r="B22" s="2" t="s">
        <v>53</v>
      </c>
      <c r="C22" s="9"/>
      <c r="D22" s="9"/>
      <c r="E22" s="7" t="s">
        <v>106</v>
      </c>
      <c r="F22" s="9"/>
      <c r="H22" s="9"/>
      <c r="I22" s="99">
        <f>EOMONTH($B$33,ROWS($I$12:I22)-1)</f>
        <v>45930</v>
      </c>
      <c r="J22" s="100">
        <v>0.15</v>
      </c>
      <c r="K22" s="101">
        <f t="shared" si="0"/>
        <v>1800000</v>
      </c>
    </row>
    <row r="23" spans="1:11" ht="20.100000000000001" customHeight="1" x14ac:dyDescent="0.25">
      <c r="A23" s="9"/>
      <c r="B23" s="6">
        <v>12000000</v>
      </c>
      <c r="C23" s="9"/>
      <c r="D23" s="9"/>
      <c r="E23" s="7" t="s">
        <v>137</v>
      </c>
      <c r="F23" s="9"/>
      <c r="G23" s="9"/>
      <c r="H23" s="9"/>
      <c r="I23" s="102">
        <f>EOMONTH($B$33,ROWS($I$12:I23)-1)</f>
        <v>45961</v>
      </c>
      <c r="J23" s="103">
        <v>0.3</v>
      </c>
      <c r="K23" s="104">
        <f t="shared" si="0"/>
        <v>3600000</v>
      </c>
    </row>
    <row r="24" spans="1:11" ht="20.100000000000001" customHeight="1" x14ac:dyDescent="0.25">
      <c r="A24" s="9"/>
      <c r="B24" s="9"/>
      <c r="C24" s="9"/>
      <c r="D24" s="9"/>
      <c r="E24" s="7" t="s">
        <v>107</v>
      </c>
      <c r="F24" s="9"/>
      <c r="G24" s="9"/>
      <c r="H24" s="9"/>
      <c r="I24" s="9"/>
      <c r="J24" s="9"/>
      <c r="K24" s="9"/>
    </row>
    <row r="25" spans="1:11" ht="20.100000000000001" customHeight="1" x14ac:dyDescent="0.25">
      <c r="A25" s="9"/>
      <c r="B25" s="2" t="s">
        <v>41</v>
      </c>
      <c r="C25" s="9"/>
      <c r="D25" s="9"/>
      <c r="E25" s="7" t="s">
        <v>108</v>
      </c>
      <c r="F25" s="9"/>
      <c r="G25" s="9"/>
      <c r="H25" s="9"/>
      <c r="I25" s="9"/>
      <c r="J25" s="9"/>
      <c r="K25" s="96"/>
    </row>
    <row r="26" spans="1:11" ht="20.100000000000001" customHeight="1" x14ac:dyDescent="0.25">
      <c r="A26" s="9"/>
      <c r="B26" s="4">
        <v>0</v>
      </c>
      <c r="C26" s="9"/>
      <c r="D26" s="9"/>
      <c r="E26" s="7" t="s">
        <v>138</v>
      </c>
      <c r="F26" s="9"/>
      <c r="G26" s="9"/>
      <c r="H26" s="9"/>
      <c r="I26" s="9"/>
      <c r="J26" s="9"/>
      <c r="K26" s="9"/>
    </row>
    <row r="27" spans="1:11" ht="20.100000000000001" customHeight="1" x14ac:dyDescent="0.25">
      <c r="A27" s="9"/>
      <c r="B27" s="9"/>
      <c r="C27" s="9"/>
      <c r="D27" s="9"/>
      <c r="E27" s="7" t="s">
        <v>109</v>
      </c>
      <c r="F27" s="9"/>
      <c r="G27" s="9"/>
      <c r="H27" s="9"/>
      <c r="I27" s="9"/>
      <c r="J27" s="9"/>
      <c r="K27" s="9"/>
    </row>
    <row r="28" spans="1:11" ht="20.100000000000001" customHeight="1" x14ac:dyDescent="0.25">
      <c r="A28" s="9"/>
      <c r="B28" s="33" t="s">
        <v>42</v>
      </c>
      <c r="C28" s="9"/>
      <c r="D28" s="9"/>
      <c r="E28" s="7" t="s">
        <v>110</v>
      </c>
      <c r="F28" s="9"/>
      <c r="G28" s="9"/>
      <c r="H28" s="9"/>
      <c r="I28" s="9"/>
      <c r="J28" s="9"/>
      <c r="K28" s="9"/>
    </row>
    <row r="29" spans="1:11" ht="20.100000000000001" customHeight="1" x14ac:dyDescent="0.25">
      <c r="A29" s="9"/>
      <c r="B29" s="9"/>
      <c r="C29" s="9"/>
      <c r="E29" s="7" t="s">
        <v>139</v>
      </c>
      <c r="F29" s="9"/>
      <c r="G29" s="9"/>
      <c r="H29" s="9"/>
      <c r="I29" s="9"/>
      <c r="J29" s="9"/>
      <c r="K29" s="9"/>
    </row>
    <row r="30" spans="1:11" ht="20.100000000000001" customHeight="1" x14ac:dyDescent="0.25">
      <c r="A30" s="9"/>
      <c r="B30" s="9"/>
      <c r="C30" s="9"/>
      <c r="D30" s="9"/>
      <c r="E30" s="7" t="s">
        <v>145</v>
      </c>
      <c r="F30" s="9"/>
      <c r="G30" s="9"/>
      <c r="H30" s="9"/>
      <c r="I30" s="9"/>
      <c r="J30" s="9"/>
      <c r="K30" s="9"/>
    </row>
    <row r="31" spans="1:11" ht="20.100000000000001" customHeight="1" x14ac:dyDescent="0.25">
      <c r="A31" s="9"/>
      <c r="B31" s="9"/>
      <c r="C31" s="9"/>
      <c r="D31" s="9"/>
      <c r="E31" s="138" t="s">
        <v>140</v>
      </c>
      <c r="F31" s="9"/>
      <c r="G31" s="9"/>
      <c r="H31" s="9"/>
      <c r="I31" s="9"/>
      <c r="J31" s="9"/>
      <c r="K31" s="9"/>
    </row>
    <row r="32" spans="1:11" ht="20.100000000000001" customHeight="1" x14ac:dyDescent="0.25">
      <c r="A32" s="9"/>
      <c r="B32" s="9"/>
      <c r="C32" s="9"/>
      <c r="D32" s="9"/>
      <c r="E32" s="139" t="s">
        <v>111</v>
      </c>
      <c r="F32" s="9"/>
      <c r="G32" s="9"/>
      <c r="H32" s="9"/>
      <c r="I32" s="9"/>
      <c r="J32" s="9"/>
      <c r="K32" s="9"/>
    </row>
    <row r="33" spans="1:11" ht="20.100000000000001" customHeight="1" x14ac:dyDescent="0.25">
      <c r="A33" s="9"/>
      <c r="B33" s="10">
        <f>DATE($B$11,MONTH($B$14&amp;1),1)</f>
        <v>45597</v>
      </c>
      <c r="C33" s="9"/>
      <c r="D33" s="9"/>
      <c r="E33" s="139" t="s">
        <v>112</v>
      </c>
      <c r="F33" s="9"/>
      <c r="G33" s="9"/>
      <c r="H33" s="9"/>
      <c r="I33" s="9"/>
      <c r="J33" s="9"/>
      <c r="K33" s="9"/>
    </row>
    <row r="34" spans="1:11" s="9" customFormat="1" ht="20.100000000000001" customHeight="1" x14ac:dyDescent="0.25">
      <c r="B34" s="10"/>
      <c r="E34" s="139" t="s">
        <v>141</v>
      </c>
    </row>
    <row r="35" spans="1:11" s="9" customFormat="1" ht="20.100000000000001" customHeight="1" x14ac:dyDescent="0.25">
      <c r="E35" s="139" t="s">
        <v>113</v>
      </c>
    </row>
    <row r="36" spans="1:11" s="9" customFormat="1" ht="20.100000000000001" customHeight="1" x14ac:dyDescent="0.25">
      <c r="E36" s="139" t="s">
        <v>9</v>
      </c>
    </row>
    <row r="37" spans="1:11" s="9" customFormat="1" ht="20.100000000000001" customHeight="1" x14ac:dyDescent="0.25">
      <c r="E37" s="139" t="s">
        <v>114</v>
      </c>
    </row>
    <row r="38" spans="1:11" s="9" customFormat="1" ht="20.100000000000001" customHeight="1" x14ac:dyDescent="0.25">
      <c r="E38" s="139" t="s">
        <v>115</v>
      </c>
    </row>
    <row r="39" spans="1:11" s="9" customFormat="1" ht="20.100000000000001" customHeight="1" x14ac:dyDescent="0.25">
      <c r="E39" s="139" t="s">
        <v>116</v>
      </c>
    </row>
    <row r="40" spans="1:11" s="9" customFormat="1" ht="20.100000000000001" customHeight="1" x14ac:dyDescent="0.25">
      <c r="E40" s="139" t="s">
        <v>146</v>
      </c>
    </row>
    <row r="41" spans="1:11" s="9" customFormat="1" ht="20.100000000000001" customHeight="1" x14ac:dyDescent="0.25">
      <c r="E41" s="139" t="s">
        <v>143</v>
      </c>
    </row>
    <row r="42" spans="1:11" s="9" customFormat="1" ht="20.100000000000001" customHeight="1" x14ac:dyDescent="0.25">
      <c r="E42" s="139" t="s">
        <v>117</v>
      </c>
    </row>
    <row r="43" spans="1:11" s="9" customFormat="1" ht="20.100000000000001" customHeight="1" x14ac:dyDescent="0.25">
      <c r="E43" s="139" t="s">
        <v>19</v>
      </c>
    </row>
    <row r="44" spans="1:11" s="9" customFormat="1" ht="20.100000000000001" customHeight="1" x14ac:dyDescent="0.25">
      <c r="E44" s="139" t="s">
        <v>144</v>
      </c>
    </row>
    <row r="45" spans="1:11" s="9" customFormat="1" ht="20.100000000000001" customHeight="1" x14ac:dyDescent="0.25"/>
    <row r="46" spans="1:11" s="9" customFormat="1" ht="20.100000000000001" customHeight="1" x14ac:dyDescent="0.25"/>
    <row r="47" spans="1:11" s="9" customFormat="1" ht="20.100000000000001" customHeight="1" x14ac:dyDescent="0.25"/>
    <row r="48" spans="1:11" s="9" customFormat="1" ht="20.100000000000001" customHeight="1" x14ac:dyDescent="0.25"/>
    <row r="49" spans="4:7" s="9" customFormat="1" ht="20.100000000000001" customHeight="1" x14ac:dyDescent="0.25"/>
    <row r="50" spans="4:7" s="9" customFormat="1" ht="20.100000000000001" customHeight="1" x14ac:dyDescent="0.25"/>
    <row r="51" spans="4:7" ht="20.100000000000001" customHeight="1" x14ac:dyDescent="0.25">
      <c r="D51" s="9"/>
      <c r="E51" s="9"/>
      <c r="F51" s="9"/>
      <c r="G51" s="9"/>
    </row>
    <row r="52" spans="4:7" ht="20.100000000000001" customHeight="1" x14ac:dyDescent="0.25">
      <c r="D52" s="9"/>
      <c r="E52" s="9"/>
      <c r="F52" s="9"/>
    </row>
    <row r="53" spans="4:7" ht="20.100000000000001" customHeight="1" x14ac:dyDescent="0.25">
      <c r="D53" s="9"/>
      <c r="E53" s="9"/>
      <c r="F53" s="9"/>
    </row>
    <row r="54" spans="4:7" ht="20.100000000000001" customHeight="1" x14ac:dyDescent="0.25">
      <c r="D54" s="9"/>
      <c r="E54" s="9"/>
      <c r="F54" s="9"/>
    </row>
    <row r="55" spans="4:7" ht="20.100000000000001" customHeight="1" x14ac:dyDescent="0.25">
      <c r="D55" s="9"/>
      <c r="E55" s="9"/>
    </row>
    <row r="56" spans="4:7" ht="20.100000000000001" customHeight="1" x14ac:dyDescent="0.25">
      <c r="D56" s="9"/>
    </row>
    <row r="57" spans="4:7" ht="20.100000000000001" customHeight="1" x14ac:dyDescent="0.25">
      <c r="D57" s="9"/>
    </row>
    <row r="58" spans="4:7" ht="20.100000000000001" customHeight="1" x14ac:dyDescent="0.25">
      <c r="D58" s="9"/>
    </row>
    <row r="59" spans="4:7" ht="20.100000000000001" customHeight="1" x14ac:dyDescent="0.25">
      <c r="D59" s="9"/>
    </row>
    <row r="60" spans="4:7" ht="20.100000000000001" customHeight="1" x14ac:dyDescent="0.25">
      <c r="D60" s="9"/>
    </row>
    <row r="61" spans="4:7" ht="20.100000000000001" customHeight="1" x14ac:dyDescent="0.25">
      <c r="D61" s="9"/>
    </row>
  </sheetData>
  <sortState xmlns:xlrd2="http://schemas.microsoft.com/office/spreadsheetml/2017/richdata2" ref="D9:D19">
    <sortCondition ref="D9"/>
  </sortState>
  <mergeCells count="5">
    <mergeCell ref="I10:K10"/>
    <mergeCell ref="I7:K7"/>
    <mergeCell ref="D1:H3"/>
    <mergeCell ref="D7:E7"/>
    <mergeCell ref="E5:F5"/>
  </mergeCells>
  <phoneticPr fontId="6" type="noConversion"/>
  <conditionalFormatting sqref="B23">
    <cfRule type="expression" dxfId="119" priority="18">
      <formula>$B$17="Pesos"</formula>
    </cfRule>
    <cfRule type="expression" dxfId="118" priority="19">
      <formula>$B$17="Soles"</formula>
    </cfRule>
    <cfRule type="expression" dxfId="117" priority="20">
      <formula>$B$17="Bolivianos"</formula>
    </cfRule>
    <cfRule type="expression" dxfId="116" priority="21">
      <formula>$B$17="Euros"</formula>
    </cfRule>
    <cfRule type="expression" dxfId="115" priority="22">
      <formula>$B$17="Dólares"</formula>
    </cfRule>
  </conditionalFormatting>
  <conditionalFormatting sqref="K8">
    <cfRule type="expression" dxfId="114" priority="7">
      <formula>$K$8&gt;$B$23</formula>
    </cfRule>
    <cfRule type="expression" dxfId="113" priority="8">
      <formula>$B$17="Pesos"</formula>
    </cfRule>
    <cfRule type="expression" dxfId="112" priority="9">
      <formula>$B$17="Soles"</formula>
    </cfRule>
    <cfRule type="expression" dxfId="111" priority="10">
      <formula>$B$17="Bolivianos"</formula>
    </cfRule>
    <cfRule type="expression" dxfId="110" priority="11">
      <formula>$B$17="Euros"</formula>
    </cfRule>
    <cfRule type="expression" dxfId="109" priority="12">
      <formula>$B$17="Dólares"</formula>
    </cfRule>
  </conditionalFormatting>
  <conditionalFormatting sqref="J8">
    <cfRule type="expression" dxfId="108" priority="6">
      <formula>$K$8&gt;$B$23</formula>
    </cfRule>
  </conditionalFormatting>
  <conditionalFormatting sqref="K12:K23">
    <cfRule type="expression" dxfId="107" priority="1">
      <formula>$B$17="Pesos"</formula>
    </cfRule>
    <cfRule type="expression" dxfId="106" priority="2">
      <formula>$B$17="Soles"</formula>
    </cfRule>
    <cfRule type="expression" dxfId="105" priority="3">
      <formula>$B$17="Bolivianos"</formula>
    </cfRule>
    <cfRule type="expression" dxfId="104" priority="4">
      <formula>$B$17="Euros"</formula>
    </cfRule>
    <cfRule type="expression" dxfId="103" priority="5">
      <formula>$B$17="Dólares"</formula>
    </cfRule>
  </conditionalFormatting>
  <dataValidations disablePrompts="1" count="3">
    <dataValidation type="list" allowBlank="1" showInputMessage="1" showErrorMessage="1" sqref="B11" xr:uid="{00000000-0002-0000-0000-000000000000}">
      <formula1>"2024,2025,2026,2027,2028,2029,2030"</formula1>
    </dataValidation>
    <dataValidation type="list" allowBlank="1" showInputMessage="1" showErrorMessage="1" sqref="B14" xr:uid="{00000000-0002-0000-0000-000001000000}">
      <formula1>"Enero,Febrero,Marzo,Abril,Mayo,Junio,Julio,Agosto,Septiembre,Octubre,Noviembre,Diciembre"</formula1>
    </dataValidation>
    <dataValidation type="list" allowBlank="1" showInputMessage="1" showErrorMessage="1" sqref="B17" xr:uid="{00000000-0002-0000-0000-000002000000}">
      <formula1>"Dólares,Euros,Bolivianos,Soles,Pesos"</formula1>
    </dataValidation>
  </dataValidation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8C52FF"/>
  </sheetPr>
  <dimension ref="A1:AI303"/>
  <sheetViews>
    <sheetView zoomScaleNormal="100" workbookViewId="0">
      <selection activeCell="K10" sqref="K10"/>
    </sheetView>
  </sheetViews>
  <sheetFormatPr baseColWidth="10" defaultRowHeight="20.100000000000001" customHeight="1" x14ac:dyDescent="0.25"/>
  <cols>
    <col min="1" max="2" width="11.42578125" style="9"/>
    <col min="3" max="3" width="7.7109375" style="1" customWidth="1"/>
    <col min="4" max="4" width="15.7109375" style="1" customWidth="1"/>
    <col min="5" max="5" width="30.7109375" style="1" customWidth="1"/>
    <col min="6" max="6" width="7.7109375" style="1" customWidth="1"/>
    <col min="7" max="8" width="11.42578125" style="9"/>
    <col min="9" max="9" width="7.7109375" style="1" customWidth="1"/>
    <col min="10" max="10" width="15.7109375" style="1" customWidth="1"/>
    <col min="11" max="11" width="39.85546875" style="1" bestFit="1" customWidth="1"/>
    <col min="12" max="12" width="7.7109375" style="1" customWidth="1"/>
    <col min="13" max="35" width="11.42578125" style="9"/>
    <col min="36" max="16384" width="11.42578125" style="1"/>
  </cols>
  <sheetData>
    <row r="1" spans="3:13" s="9" customFormat="1" ht="20.100000000000001" customHeight="1" x14ac:dyDescent="0.25">
      <c r="L1" s="161"/>
      <c r="M1" s="161"/>
    </row>
    <row r="2" spans="3:13" s="9" customFormat="1" ht="20.100000000000001" customHeight="1" x14ac:dyDescent="0.25"/>
    <row r="3" spans="3:13" ht="20.100000000000001" customHeight="1" x14ac:dyDescent="0.25">
      <c r="C3" s="158" t="s">
        <v>37</v>
      </c>
      <c r="D3" s="158"/>
      <c r="E3" s="158"/>
      <c r="F3" s="158"/>
      <c r="I3" s="159" t="s">
        <v>38</v>
      </c>
      <c r="J3" s="159"/>
      <c r="K3" s="159"/>
      <c r="L3" s="159"/>
    </row>
    <row r="4" spans="3:13" ht="20.100000000000001" customHeight="1" x14ac:dyDescent="0.25">
      <c r="C4" s="158"/>
      <c r="D4" s="158"/>
      <c r="E4" s="158"/>
      <c r="F4" s="158"/>
      <c r="I4" s="159"/>
      <c r="J4" s="159"/>
      <c r="K4" s="159"/>
      <c r="L4" s="159"/>
    </row>
    <row r="5" spans="3:13" ht="20.100000000000001" customHeight="1" x14ac:dyDescent="0.25">
      <c r="C5" s="28" t="str">
        <f>Configuración!$B$17</f>
        <v>Pesos</v>
      </c>
      <c r="D5" s="20"/>
      <c r="E5" s="20"/>
      <c r="F5" s="20"/>
      <c r="I5" s="28" t="str">
        <f>Configuración!$B$17</f>
        <v>Pesos</v>
      </c>
      <c r="J5" s="20"/>
      <c r="K5" s="20"/>
      <c r="L5" s="20"/>
    </row>
    <row r="6" spans="3:13" ht="24.95" customHeight="1" x14ac:dyDescent="0.25">
      <c r="C6" s="20"/>
      <c r="D6" s="24" t="s">
        <v>22</v>
      </c>
      <c r="E6" s="27">
        <v>45652</v>
      </c>
      <c r="F6" s="20"/>
      <c r="I6" s="20"/>
      <c r="J6" s="24" t="s">
        <v>22</v>
      </c>
      <c r="K6" s="27">
        <v>45652</v>
      </c>
      <c r="L6" s="20"/>
    </row>
    <row r="7" spans="3:13" ht="12" customHeight="1" x14ac:dyDescent="0.25">
      <c r="C7" s="20"/>
      <c r="D7" s="20"/>
      <c r="E7" s="20"/>
      <c r="F7" s="20"/>
      <c r="I7" s="20"/>
      <c r="J7" s="20"/>
      <c r="K7" s="147"/>
      <c r="L7" s="20"/>
    </row>
    <row r="8" spans="3:13" ht="24.95" customHeight="1" x14ac:dyDescent="0.25">
      <c r="C8" s="20"/>
      <c r="D8" s="24" t="s">
        <v>23</v>
      </c>
      <c r="E8" s="25"/>
      <c r="F8" s="20"/>
      <c r="I8" s="20"/>
      <c r="J8" s="24" t="s">
        <v>23</v>
      </c>
      <c r="K8" s="25"/>
      <c r="L8" s="20"/>
    </row>
    <row r="9" spans="3:13" ht="12" customHeight="1" x14ac:dyDescent="0.25">
      <c r="C9" s="20"/>
      <c r="D9" s="20"/>
      <c r="E9" s="20"/>
      <c r="F9" s="20"/>
      <c r="I9" s="20"/>
      <c r="J9" s="20"/>
      <c r="K9" s="20"/>
      <c r="L9" s="20"/>
    </row>
    <row r="10" spans="3:13" ht="24.95" customHeight="1" x14ac:dyDescent="0.25">
      <c r="C10" s="20"/>
      <c r="D10" s="24" t="s">
        <v>24</v>
      </c>
      <c r="E10" s="149"/>
      <c r="F10" s="20"/>
      <c r="I10" s="20"/>
      <c r="J10" s="24" t="s">
        <v>24</v>
      </c>
      <c r="K10" s="148"/>
      <c r="L10" s="20"/>
    </row>
    <row r="11" spans="3:13" ht="12" customHeight="1" x14ac:dyDescent="0.25">
      <c r="C11" s="20"/>
      <c r="D11" s="20"/>
      <c r="E11" s="20"/>
      <c r="F11" s="20"/>
      <c r="I11" s="20"/>
      <c r="J11" s="20"/>
      <c r="K11" s="20"/>
      <c r="L11" s="20"/>
    </row>
    <row r="12" spans="3:13" ht="24.95" customHeight="1" x14ac:dyDescent="0.25">
      <c r="C12" s="20"/>
      <c r="D12" s="24" t="s">
        <v>36</v>
      </c>
      <c r="E12" s="25"/>
      <c r="F12" s="20"/>
      <c r="I12" s="20"/>
      <c r="J12" s="24" t="s">
        <v>36</v>
      </c>
      <c r="K12" s="25"/>
      <c r="L12" s="20"/>
    </row>
    <row r="13" spans="3:13" ht="12" customHeight="1" x14ac:dyDescent="0.25">
      <c r="C13" s="20"/>
      <c r="D13" s="20"/>
      <c r="E13" s="20"/>
      <c r="F13" s="20"/>
      <c r="I13" s="20"/>
      <c r="J13" s="20"/>
      <c r="K13" s="20"/>
      <c r="L13" s="20"/>
    </row>
    <row r="14" spans="3:13" ht="24.95" customHeight="1" x14ac:dyDescent="0.25">
      <c r="C14" s="20"/>
      <c r="D14" s="24" t="s">
        <v>35</v>
      </c>
      <c r="E14" s="26">
        <v>0</v>
      </c>
      <c r="F14" s="20"/>
      <c r="I14" s="20"/>
      <c r="J14" s="24" t="s">
        <v>35</v>
      </c>
      <c r="K14" s="26">
        <v>0</v>
      </c>
      <c r="L14" s="20"/>
    </row>
    <row r="15" spans="3:13" ht="12" customHeight="1" x14ac:dyDescent="0.25">
      <c r="C15" s="20"/>
      <c r="D15" s="20"/>
      <c r="E15" s="20"/>
      <c r="F15" s="20"/>
      <c r="I15" s="20"/>
      <c r="J15" s="20"/>
      <c r="K15" s="20"/>
      <c r="L15" s="20"/>
    </row>
    <row r="16" spans="3:13" ht="24.95" customHeight="1" x14ac:dyDescent="0.25">
      <c r="C16" s="20"/>
      <c r="D16" s="24" t="s">
        <v>39</v>
      </c>
      <c r="E16" s="25"/>
      <c r="F16" s="20"/>
      <c r="I16" s="20"/>
      <c r="J16" s="24" t="s">
        <v>48</v>
      </c>
      <c r="K16" s="25"/>
      <c r="L16" s="20"/>
    </row>
    <row r="17" spans="3:12" ht="20.100000000000001" customHeight="1" x14ac:dyDescent="0.25">
      <c r="C17" s="20"/>
      <c r="D17" s="20"/>
      <c r="E17" s="20"/>
      <c r="F17" s="20"/>
      <c r="I17" s="20"/>
      <c r="J17" s="20"/>
      <c r="K17" s="20"/>
      <c r="L17" s="20"/>
    </row>
    <row r="18" spans="3:12" ht="20.100000000000001" customHeight="1" x14ac:dyDescent="0.25">
      <c r="C18" s="20"/>
      <c r="D18" s="160"/>
      <c r="E18" s="160"/>
      <c r="F18" s="20"/>
      <c r="I18" s="20"/>
      <c r="J18" s="160"/>
      <c r="K18" s="160"/>
      <c r="L18" s="20"/>
    </row>
    <row r="19" spans="3:12" ht="20.100000000000001" customHeight="1" x14ac:dyDescent="0.25">
      <c r="C19" s="20"/>
      <c r="D19" s="160"/>
      <c r="E19" s="160"/>
      <c r="F19" s="20"/>
      <c r="I19" s="20"/>
      <c r="J19" s="160"/>
      <c r="K19" s="160"/>
      <c r="L19" s="20"/>
    </row>
    <row r="20" spans="3:12" ht="20.100000000000001" customHeight="1" x14ac:dyDescent="0.25">
      <c r="C20" s="20"/>
      <c r="D20" s="160"/>
      <c r="E20" s="160"/>
      <c r="F20" s="20"/>
      <c r="I20" s="20"/>
      <c r="J20" s="160"/>
      <c r="K20" s="160"/>
      <c r="L20" s="20"/>
    </row>
    <row r="21" spans="3:12" s="9" customFormat="1" ht="20.100000000000001" customHeight="1" x14ac:dyDescent="0.25"/>
    <row r="22" spans="3:12" s="9" customFormat="1" ht="20.100000000000001" customHeight="1" x14ac:dyDescent="0.25"/>
    <row r="23" spans="3:12" s="9" customFormat="1" ht="20.100000000000001" customHeight="1" x14ac:dyDescent="0.25"/>
    <row r="24" spans="3:12" s="9" customFormat="1" ht="20.100000000000001" customHeight="1" x14ac:dyDescent="0.25"/>
    <row r="25" spans="3:12" s="9" customFormat="1" ht="20.100000000000001" customHeight="1" x14ac:dyDescent="0.25"/>
    <row r="26" spans="3:12" s="9" customFormat="1" ht="20.100000000000001" customHeight="1" x14ac:dyDescent="0.25"/>
    <row r="27" spans="3:12" s="9" customFormat="1" ht="20.100000000000001" customHeight="1" x14ac:dyDescent="0.25"/>
    <row r="28" spans="3:12" s="9" customFormat="1" ht="20.100000000000001" customHeight="1" x14ac:dyDescent="0.25"/>
    <row r="29" spans="3:12" s="9" customFormat="1" ht="20.100000000000001" customHeight="1" x14ac:dyDescent="0.25"/>
    <row r="30" spans="3:12" s="9" customFormat="1" ht="20.100000000000001" customHeight="1" x14ac:dyDescent="0.25"/>
    <row r="31" spans="3:12" s="9" customFormat="1" ht="20.100000000000001" customHeight="1" x14ac:dyDescent="0.25"/>
    <row r="32" spans="3:12" s="9" customFormat="1" ht="20.100000000000001" customHeight="1" x14ac:dyDescent="0.25"/>
    <row r="33" s="9" customFormat="1" ht="20.100000000000001" customHeight="1" x14ac:dyDescent="0.25"/>
    <row r="34" s="9" customFormat="1" ht="20.100000000000001" customHeight="1" x14ac:dyDescent="0.25"/>
    <row r="35" s="9" customFormat="1" ht="20.100000000000001" customHeight="1" x14ac:dyDescent="0.25"/>
    <row r="36" s="9" customFormat="1" ht="20.100000000000001" customHeight="1" x14ac:dyDescent="0.25"/>
    <row r="37" s="9" customFormat="1" ht="20.100000000000001" customHeight="1" x14ac:dyDescent="0.25"/>
    <row r="38" s="9" customFormat="1" ht="20.100000000000001" customHeight="1" x14ac:dyDescent="0.25"/>
    <row r="39" s="9" customFormat="1" ht="20.100000000000001" customHeight="1" x14ac:dyDescent="0.25"/>
    <row r="40" s="9" customFormat="1" ht="20.100000000000001" customHeight="1" x14ac:dyDescent="0.25"/>
    <row r="41" s="9" customFormat="1" ht="20.100000000000001" customHeight="1" x14ac:dyDescent="0.25"/>
    <row r="42" s="9" customFormat="1" ht="20.100000000000001" customHeight="1" x14ac:dyDescent="0.25"/>
    <row r="43" s="9" customFormat="1" ht="20.100000000000001" customHeight="1" x14ac:dyDescent="0.25"/>
    <row r="44" s="9" customFormat="1" ht="20.100000000000001" customHeight="1" x14ac:dyDescent="0.25"/>
    <row r="45" s="9" customFormat="1" ht="20.100000000000001" customHeight="1" x14ac:dyDescent="0.25"/>
    <row r="46" s="9" customFormat="1" ht="20.100000000000001" customHeight="1" x14ac:dyDescent="0.25"/>
    <row r="47" s="9" customFormat="1" ht="20.100000000000001" customHeight="1" x14ac:dyDescent="0.25"/>
    <row r="48" s="9" customFormat="1" ht="20.100000000000001" customHeight="1" x14ac:dyDescent="0.25"/>
    <row r="49" s="9" customFormat="1" ht="20.100000000000001" customHeight="1" x14ac:dyDescent="0.25"/>
    <row r="50" s="9" customFormat="1" ht="20.100000000000001" customHeight="1" x14ac:dyDescent="0.25"/>
    <row r="51" s="9" customFormat="1" ht="20.100000000000001" customHeight="1" x14ac:dyDescent="0.25"/>
    <row r="52" s="9" customFormat="1" ht="20.100000000000001" customHeight="1" x14ac:dyDescent="0.25"/>
    <row r="53" s="9" customFormat="1" ht="20.100000000000001" customHeight="1" x14ac:dyDescent="0.25"/>
    <row r="54" s="9" customFormat="1" ht="20.100000000000001" customHeight="1" x14ac:dyDescent="0.25"/>
    <row r="55" s="9" customFormat="1" ht="20.100000000000001" customHeight="1" x14ac:dyDescent="0.25"/>
    <row r="56" s="9" customFormat="1" ht="20.100000000000001" customHeight="1" x14ac:dyDescent="0.25"/>
    <row r="57" s="9" customFormat="1" ht="20.100000000000001" customHeight="1" x14ac:dyDescent="0.25"/>
    <row r="58" s="9" customFormat="1" ht="20.100000000000001" customHeight="1" x14ac:dyDescent="0.25"/>
    <row r="59" s="9" customFormat="1" ht="20.100000000000001" customHeight="1" x14ac:dyDescent="0.25"/>
    <row r="60" s="9" customFormat="1" ht="20.100000000000001" customHeight="1" x14ac:dyDescent="0.25"/>
    <row r="61" s="9" customFormat="1" ht="20.100000000000001" customHeight="1" x14ac:dyDescent="0.25"/>
    <row r="62" s="9" customFormat="1" ht="20.100000000000001" customHeight="1" x14ac:dyDescent="0.25"/>
    <row r="63" s="9" customFormat="1" ht="20.100000000000001" customHeight="1" x14ac:dyDescent="0.25"/>
    <row r="64" s="9" customFormat="1" ht="20.100000000000001" customHeight="1" x14ac:dyDescent="0.25"/>
    <row r="65" s="9" customFormat="1" ht="20.100000000000001" customHeight="1" x14ac:dyDescent="0.25"/>
    <row r="66" s="9" customFormat="1" ht="20.100000000000001" customHeight="1" x14ac:dyDescent="0.25"/>
    <row r="67" s="9" customFormat="1" ht="20.100000000000001" customHeight="1" x14ac:dyDescent="0.25"/>
    <row r="68" s="9" customFormat="1" ht="20.100000000000001" customHeight="1" x14ac:dyDescent="0.25"/>
    <row r="69" s="9" customFormat="1" ht="20.100000000000001" customHeight="1" x14ac:dyDescent="0.25"/>
    <row r="70" s="9" customFormat="1" ht="20.100000000000001" customHeight="1" x14ac:dyDescent="0.25"/>
    <row r="71" s="9" customFormat="1" ht="20.100000000000001" customHeight="1" x14ac:dyDescent="0.25"/>
    <row r="72" s="9" customFormat="1" ht="20.100000000000001" customHeight="1" x14ac:dyDescent="0.25"/>
    <row r="73" s="9" customFormat="1" ht="20.100000000000001" customHeight="1" x14ac:dyDescent="0.25"/>
    <row r="74" s="9" customFormat="1" ht="20.100000000000001" customHeight="1" x14ac:dyDescent="0.25"/>
    <row r="75" s="9" customFormat="1" ht="20.100000000000001" customHeight="1" x14ac:dyDescent="0.25"/>
    <row r="76" s="9" customFormat="1" ht="20.100000000000001" customHeight="1" x14ac:dyDescent="0.25"/>
    <row r="77" s="9" customFormat="1" ht="20.100000000000001" customHeight="1" x14ac:dyDescent="0.25"/>
    <row r="78" s="9" customFormat="1" ht="20.100000000000001" customHeight="1" x14ac:dyDescent="0.25"/>
    <row r="79" s="9" customFormat="1" ht="20.100000000000001" customHeight="1" x14ac:dyDescent="0.25"/>
    <row r="80" s="9" customFormat="1" ht="20.100000000000001" customHeight="1" x14ac:dyDescent="0.25"/>
    <row r="81" s="9" customFormat="1" ht="20.100000000000001" customHeight="1" x14ac:dyDescent="0.25"/>
    <row r="82" s="9" customFormat="1" ht="20.100000000000001" customHeight="1" x14ac:dyDescent="0.25"/>
    <row r="83" s="9" customFormat="1" ht="20.100000000000001" customHeight="1" x14ac:dyDescent="0.25"/>
    <row r="84" s="9" customFormat="1" ht="20.100000000000001" customHeight="1" x14ac:dyDescent="0.25"/>
    <row r="85" s="9" customFormat="1" ht="20.100000000000001" customHeight="1" x14ac:dyDescent="0.25"/>
    <row r="86" s="9" customFormat="1" ht="20.100000000000001" customHeight="1" x14ac:dyDescent="0.25"/>
    <row r="87" s="9" customFormat="1" ht="20.100000000000001" customHeight="1" x14ac:dyDescent="0.25"/>
    <row r="88" s="9" customFormat="1" ht="20.100000000000001" customHeight="1" x14ac:dyDescent="0.25"/>
    <row r="89" s="9" customFormat="1" ht="20.100000000000001" customHeight="1" x14ac:dyDescent="0.25"/>
    <row r="90" s="9" customFormat="1" ht="20.100000000000001" customHeight="1" x14ac:dyDescent="0.25"/>
    <row r="91" s="9" customFormat="1" ht="20.100000000000001" customHeight="1" x14ac:dyDescent="0.25"/>
    <row r="92" s="9" customFormat="1" ht="20.100000000000001" customHeight="1" x14ac:dyDescent="0.25"/>
    <row r="93" s="9" customFormat="1" ht="20.100000000000001" customHeight="1" x14ac:dyDescent="0.25"/>
    <row r="94" s="9" customFormat="1" ht="20.100000000000001" customHeight="1" x14ac:dyDescent="0.25"/>
    <row r="95" s="9" customFormat="1" ht="20.100000000000001" customHeight="1" x14ac:dyDescent="0.25"/>
    <row r="96" s="9" customFormat="1" ht="20.100000000000001" customHeight="1" x14ac:dyDescent="0.25"/>
    <row r="97" s="9" customFormat="1" ht="20.100000000000001" customHeight="1" x14ac:dyDescent="0.25"/>
    <row r="98" s="9" customFormat="1" ht="20.100000000000001" customHeight="1" x14ac:dyDescent="0.25"/>
    <row r="99" s="9" customFormat="1" ht="20.100000000000001" customHeight="1" x14ac:dyDescent="0.25"/>
    <row r="100" s="9" customFormat="1" ht="20.100000000000001" customHeight="1" x14ac:dyDescent="0.25"/>
    <row r="101" s="9" customFormat="1" ht="20.100000000000001" customHeight="1" x14ac:dyDescent="0.25"/>
    <row r="102" s="9" customFormat="1" ht="20.100000000000001" customHeight="1" x14ac:dyDescent="0.25"/>
    <row r="103" s="9" customFormat="1" ht="20.100000000000001" customHeight="1" x14ac:dyDescent="0.25"/>
    <row r="104" s="9" customFormat="1" ht="20.100000000000001" customHeight="1" x14ac:dyDescent="0.25"/>
    <row r="105" s="9" customFormat="1" ht="20.100000000000001" customHeight="1" x14ac:dyDescent="0.25"/>
    <row r="106" s="9" customFormat="1" ht="20.100000000000001" customHeight="1" x14ac:dyDescent="0.25"/>
    <row r="107" s="9" customFormat="1" ht="20.100000000000001" customHeight="1" x14ac:dyDescent="0.25"/>
    <row r="108" s="9" customFormat="1" ht="20.100000000000001" customHeight="1" x14ac:dyDescent="0.25"/>
    <row r="109" s="9" customFormat="1" ht="20.100000000000001" customHeight="1" x14ac:dyDescent="0.25"/>
    <row r="110" s="9" customFormat="1" ht="20.100000000000001" customHeight="1" x14ac:dyDescent="0.25"/>
    <row r="111" s="9" customFormat="1" ht="20.100000000000001" customHeight="1" x14ac:dyDescent="0.25"/>
    <row r="112" s="9" customFormat="1" ht="20.100000000000001" customHeight="1" x14ac:dyDescent="0.25"/>
    <row r="113" s="9" customFormat="1" ht="20.100000000000001" customHeight="1" x14ac:dyDescent="0.25"/>
    <row r="114" s="9" customFormat="1" ht="20.100000000000001" customHeight="1" x14ac:dyDescent="0.25"/>
    <row r="115" s="9" customFormat="1" ht="20.100000000000001" customHeight="1" x14ac:dyDescent="0.25"/>
    <row r="116" s="9" customFormat="1" ht="20.100000000000001" customHeight="1" x14ac:dyDescent="0.25"/>
    <row r="117" s="9" customFormat="1" ht="20.100000000000001" customHeight="1" x14ac:dyDescent="0.25"/>
    <row r="118" s="9" customFormat="1" ht="20.100000000000001" customHeight="1" x14ac:dyDescent="0.25"/>
    <row r="119" s="9" customFormat="1" ht="20.100000000000001" customHeight="1" x14ac:dyDescent="0.25"/>
    <row r="120" s="9" customFormat="1" ht="20.100000000000001" customHeight="1" x14ac:dyDescent="0.25"/>
    <row r="121" s="9" customFormat="1" ht="20.100000000000001" customHeight="1" x14ac:dyDescent="0.25"/>
    <row r="122" s="9" customFormat="1" ht="20.100000000000001" customHeight="1" x14ac:dyDescent="0.25"/>
    <row r="123" s="9" customFormat="1" ht="20.100000000000001" customHeight="1" x14ac:dyDescent="0.25"/>
    <row r="124" s="9" customFormat="1" ht="20.100000000000001" customHeight="1" x14ac:dyDescent="0.25"/>
    <row r="125" s="9" customFormat="1" ht="20.100000000000001" customHeight="1" x14ac:dyDescent="0.25"/>
    <row r="126" s="9" customFormat="1" ht="20.100000000000001" customHeight="1" x14ac:dyDescent="0.25"/>
    <row r="127" s="9" customFormat="1" ht="20.100000000000001" customHeight="1" x14ac:dyDescent="0.25"/>
    <row r="128" s="9" customFormat="1" ht="20.100000000000001" customHeight="1" x14ac:dyDescent="0.25"/>
    <row r="129" s="9" customFormat="1" ht="20.100000000000001" customHeight="1" x14ac:dyDescent="0.25"/>
    <row r="130" s="9" customFormat="1" ht="20.100000000000001" customHeight="1" x14ac:dyDescent="0.25"/>
    <row r="131" s="9" customFormat="1" ht="20.100000000000001" customHeight="1" x14ac:dyDescent="0.25"/>
    <row r="132" s="9" customFormat="1" ht="20.100000000000001" customHeight="1" x14ac:dyDescent="0.25"/>
    <row r="133" s="9" customFormat="1" ht="20.100000000000001" customHeight="1" x14ac:dyDescent="0.25"/>
    <row r="134" s="9" customFormat="1" ht="20.100000000000001" customHeight="1" x14ac:dyDescent="0.25"/>
    <row r="135" s="9" customFormat="1" ht="20.100000000000001" customHeight="1" x14ac:dyDescent="0.25"/>
    <row r="136" s="9" customFormat="1" ht="20.100000000000001" customHeight="1" x14ac:dyDescent="0.25"/>
    <row r="137" s="9" customFormat="1" ht="20.100000000000001" customHeight="1" x14ac:dyDescent="0.25"/>
    <row r="138" s="9" customFormat="1" ht="20.100000000000001" customHeight="1" x14ac:dyDescent="0.25"/>
    <row r="139" s="9" customFormat="1" ht="20.100000000000001" customHeight="1" x14ac:dyDescent="0.25"/>
    <row r="140" s="9" customFormat="1" ht="20.100000000000001" customHeight="1" x14ac:dyDescent="0.25"/>
    <row r="141" s="9" customFormat="1" ht="20.100000000000001" customHeight="1" x14ac:dyDescent="0.25"/>
    <row r="142" s="9" customFormat="1" ht="20.100000000000001" customHeight="1" x14ac:dyDescent="0.25"/>
    <row r="143" s="9" customFormat="1" ht="20.100000000000001" customHeight="1" x14ac:dyDescent="0.25"/>
    <row r="144" s="9" customFormat="1" ht="20.100000000000001" customHeight="1" x14ac:dyDescent="0.25"/>
    <row r="145" s="9" customFormat="1" ht="20.100000000000001" customHeight="1" x14ac:dyDescent="0.25"/>
    <row r="146" s="9" customFormat="1" ht="20.100000000000001" customHeight="1" x14ac:dyDescent="0.25"/>
    <row r="147" s="9" customFormat="1" ht="20.100000000000001" customHeight="1" x14ac:dyDescent="0.25"/>
    <row r="148" s="9" customFormat="1" ht="20.100000000000001" customHeight="1" x14ac:dyDescent="0.25"/>
    <row r="149" s="9" customFormat="1" ht="20.100000000000001" customHeight="1" x14ac:dyDescent="0.25"/>
    <row r="150" s="9" customFormat="1" ht="20.100000000000001" customHeight="1" x14ac:dyDescent="0.25"/>
    <row r="151" s="9" customFormat="1" ht="20.100000000000001" customHeight="1" x14ac:dyDescent="0.25"/>
    <row r="152" s="9" customFormat="1" ht="20.100000000000001" customHeight="1" x14ac:dyDescent="0.25"/>
    <row r="153" s="9" customFormat="1" ht="20.100000000000001" customHeight="1" x14ac:dyDescent="0.25"/>
    <row r="154" s="9" customFormat="1" ht="20.100000000000001" customHeight="1" x14ac:dyDescent="0.25"/>
    <row r="155" s="9" customFormat="1" ht="20.100000000000001" customHeight="1" x14ac:dyDescent="0.25"/>
    <row r="156" s="9" customFormat="1" ht="20.100000000000001" customHeight="1" x14ac:dyDescent="0.25"/>
    <row r="157" s="9" customFormat="1" ht="20.100000000000001" customHeight="1" x14ac:dyDescent="0.25"/>
    <row r="158" s="9" customFormat="1" ht="20.100000000000001" customHeight="1" x14ac:dyDescent="0.25"/>
    <row r="159" s="9" customFormat="1" ht="20.100000000000001" customHeight="1" x14ac:dyDescent="0.25"/>
    <row r="160" s="9" customFormat="1" ht="20.100000000000001" customHeight="1" x14ac:dyDescent="0.25"/>
    <row r="161" s="9" customFormat="1" ht="20.100000000000001" customHeight="1" x14ac:dyDescent="0.25"/>
    <row r="162" s="9" customFormat="1" ht="20.100000000000001" customHeight="1" x14ac:dyDescent="0.25"/>
    <row r="163" s="9" customFormat="1" ht="20.100000000000001" customHeight="1" x14ac:dyDescent="0.25"/>
    <row r="164" s="9" customFormat="1" ht="20.100000000000001" customHeight="1" x14ac:dyDescent="0.25"/>
    <row r="165" s="9" customFormat="1" ht="20.100000000000001" customHeight="1" x14ac:dyDescent="0.25"/>
    <row r="166" s="9" customFormat="1" ht="20.100000000000001" customHeight="1" x14ac:dyDescent="0.25"/>
    <row r="167" s="9" customFormat="1" ht="20.100000000000001" customHeight="1" x14ac:dyDescent="0.25"/>
    <row r="168" s="9" customFormat="1" ht="20.100000000000001" customHeight="1" x14ac:dyDescent="0.25"/>
    <row r="169" s="9" customFormat="1" ht="20.100000000000001" customHeight="1" x14ac:dyDescent="0.25"/>
    <row r="170" s="9" customFormat="1" ht="20.100000000000001" customHeight="1" x14ac:dyDescent="0.25"/>
    <row r="171" s="9" customFormat="1" ht="20.100000000000001" customHeight="1" x14ac:dyDescent="0.25"/>
    <row r="172" s="9" customFormat="1" ht="20.100000000000001" customHeight="1" x14ac:dyDescent="0.25"/>
    <row r="173" s="9" customFormat="1" ht="20.100000000000001" customHeight="1" x14ac:dyDescent="0.25"/>
    <row r="174" s="9" customFormat="1" ht="20.100000000000001" customHeight="1" x14ac:dyDescent="0.25"/>
    <row r="175" s="9" customFormat="1" ht="20.100000000000001" customHeight="1" x14ac:dyDescent="0.25"/>
    <row r="176" s="9" customFormat="1" ht="20.100000000000001" customHeight="1" x14ac:dyDescent="0.25"/>
    <row r="177" s="9" customFormat="1" ht="20.100000000000001" customHeight="1" x14ac:dyDescent="0.25"/>
    <row r="178" s="9" customFormat="1" ht="20.100000000000001" customHeight="1" x14ac:dyDescent="0.25"/>
    <row r="179" s="9" customFormat="1" ht="20.100000000000001" customHeight="1" x14ac:dyDescent="0.25"/>
    <row r="180" s="9" customFormat="1" ht="20.100000000000001" customHeight="1" x14ac:dyDescent="0.25"/>
    <row r="181" s="9" customFormat="1" ht="20.100000000000001" customHeight="1" x14ac:dyDescent="0.25"/>
    <row r="182" s="9" customFormat="1" ht="20.100000000000001" customHeight="1" x14ac:dyDescent="0.25"/>
    <row r="183" s="9" customFormat="1" ht="20.100000000000001" customHeight="1" x14ac:dyDescent="0.25"/>
    <row r="184" s="9" customFormat="1" ht="20.100000000000001" customHeight="1" x14ac:dyDescent="0.25"/>
    <row r="185" s="9" customFormat="1" ht="20.100000000000001" customHeight="1" x14ac:dyDescent="0.25"/>
    <row r="186" s="9" customFormat="1" ht="20.100000000000001" customHeight="1" x14ac:dyDescent="0.25"/>
    <row r="187" s="9" customFormat="1" ht="20.100000000000001" customHeight="1" x14ac:dyDescent="0.25"/>
    <row r="188" s="9" customFormat="1" ht="20.100000000000001" customHeight="1" x14ac:dyDescent="0.25"/>
    <row r="189" s="9" customFormat="1" ht="20.100000000000001" customHeight="1" x14ac:dyDescent="0.25"/>
    <row r="190" s="9" customFormat="1" ht="20.100000000000001" customHeight="1" x14ac:dyDescent="0.25"/>
    <row r="191" s="9" customFormat="1" ht="20.100000000000001" customHeight="1" x14ac:dyDescent="0.25"/>
    <row r="192" s="9" customFormat="1" ht="20.100000000000001" customHeight="1" x14ac:dyDescent="0.25"/>
    <row r="193" s="9" customFormat="1" ht="20.100000000000001" customHeight="1" x14ac:dyDescent="0.25"/>
    <row r="194" s="9" customFormat="1" ht="20.100000000000001" customHeight="1" x14ac:dyDescent="0.25"/>
    <row r="195" s="9" customFormat="1" ht="20.100000000000001" customHeight="1" x14ac:dyDescent="0.25"/>
    <row r="196" s="9" customFormat="1" ht="20.100000000000001" customHeight="1" x14ac:dyDescent="0.25"/>
    <row r="197" s="9" customFormat="1" ht="20.100000000000001" customHeight="1" x14ac:dyDescent="0.25"/>
    <row r="198" s="9" customFormat="1" ht="20.100000000000001" customHeight="1" x14ac:dyDescent="0.25"/>
    <row r="199" s="9" customFormat="1" ht="20.100000000000001" customHeight="1" x14ac:dyDescent="0.25"/>
    <row r="200" s="9" customFormat="1" ht="20.100000000000001" customHeight="1" x14ac:dyDescent="0.25"/>
    <row r="201" s="9" customFormat="1" ht="20.100000000000001" customHeight="1" x14ac:dyDescent="0.25"/>
    <row r="202" s="9" customFormat="1" ht="20.100000000000001" customHeight="1" x14ac:dyDescent="0.25"/>
    <row r="203" s="9" customFormat="1" ht="20.100000000000001" customHeight="1" x14ac:dyDescent="0.25"/>
    <row r="204" s="9" customFormat="1" ht="20.100000000000001" customHeight="1" x14ac:dyDescent="0.25"/>
    <row r="205" s="9" customFormat="1" ht="20.100000000000001" customHeight="1" x14ac:dyDescent="0.25"/>
    <row r="206" s="9" customFormat="1" ht="20.100000000000001" customHeight="1" x14ac:dyDescent="0.25"/>
    <row r="207" s="9" customFormat="1" ht="20.100000000000001" customHeight="1" x14ac:dyDescent="0.25"/>
    <row r="208" s="9" customFormat="1" ht="20.100000000000001" customHeight="1" x14ac:dyDescent="0.25"/>
    <row r="209" s="9" customFormat="1" ht="20.100000000000001" customHeight="1" x14ac:dyDescent="0.25"/>
    <row r="210" s="9" customFormat="1" ht="20.100000000000001" customHeight="1" x14ac:dyDescent="0.25"/>
    <row r="211" s="9" customFormat="1" ht="20.100000000000001" customHeight="1" x14ac:dyDescent="0.25"/>
    <row r="212" s="9" customFormat="1" ht="20.100000000000001" customHeight="1" x14ac:dyDescent="0.25"/>
    <row r="213" s="9" customFormat="1" ht="20.100000000000001" customHeight="1" x14ac:dyDescent="0.25"/>
    <row r="214" s="9" customFormat="1" ht="20.100000000000001" customHeight="1" x14ac:dyDescent="0.25"/>
    <row r="215" s="9" customFormat="1" ht="20.100000000000001" customHeight="1" x14ac:dyDescent="0.25"/>
    <row r="216" s="9" customFormat="1" ht="20.100000000000001" customHeight="1" x14ac:dyDescent="0.25"/>
    <row r="217" s="9" customFormat="1" ht="20.100000000000001" customHeight="1" x14ac:dyDescent="0.25"/>
    <row r="218" s="9" customFormat="1" ht="20.100000000000001" customHeight="1" x14ac:dyDescent="0.25"/>
    <row r="219" s="9" customFormat="1" ht="20.100000000000001" customHeight="1" x14ac:dyDescent="0.25"/>
    <row r="220" s="9" customFormat="1" ht="20.100000000000001" customHeight="1" x14ac:dyDescent="0.25"/>
    <row r="221" s="9" customFormat="1" ht="20.100000000000001" customHeight="1" x14ac:dyDescent="0.25"/>
    <row r="222" s="9" customFormat="1" ht="20.100000000000001" customHeight="1" x14ac:dyDescent="0.25"/>
    <row r="223" s="9" customFormat="1" ht="20.100000000000001" customHeight="1" x14ac:dyDescent="0.25"/>
    <row r="224" s="9" customFormat="1" ht="20.100000000000001" customHeight="1" x14ac:dyDescent="0.25"/>
    <row r="225" s="9" customFormat="1" ht="20.100000000000001" customHeight="1" x14ac:dyDescent="0.25"/>
    <row r="226" s="9" customFormat="1" ht="20.100000000000001" customHeight="1" x14ac:dyDescent="0.25"/>
    <row r="227" s="9" customFormat="1" ht="20.100000000000001" customHeight="1" x14ac:dyDescent="0.25"/>
    <row r="228" s="9" customFormat="1" ht="20.100000000000001" customHeight="1" x14ac:dyDescent="0.25"/>
    <row r="229" s="9" customFormat="1" ht="20.100000000000001" customHeight="1" x14ac:dyDescent="0.25"/>
    <row r="230" s="9" customFormat="1" ht="20.100000000000001" customHeight="1" x14ac:dyDescent="0.25"/>
    <row r="231" s="9" customFormat="1" ht="20.100000000000001" customHeight="1" x14ac:dyDescent="0.25"/>
    <row r="232" s="9" customFormat="1" ht="20.100000000000001" customHeight="1" x14ac:dyDescent="0.25"/>
    <row r="233" s="9" customFormat="1" ht="20.100000000000001" customHeight="1" x14ac:dyDescent="0.25"/>
    <row r="234" s="9" customFormat="1" ht="20.100000000000001" customHeight="1" x14ac:dyDescent="0.25"/>
    <row r="235" s="9" customFormat="1" ht="20.100000000000001" customHeight="1" x14ac:dyDescent="0.25"/>
    <row r="236" s="9" customFormat="1" ht="20.100000000000001" customHeight="1" x14ac:dyDescent="0.25"/>
    <row r="237" s="9" customFormat="1" ht="20.100000000000001" customHeight="1" x14ac:dyDescent="0.25"/>
    <row r="238" s="9" customFormat="1" ht="20.100000000000001" customHeight="1" x14ac:dyDescent="0.25"/>
    <row r="239" s="9" customFormat="1" ht="20.100000000000001" customHeight="1" x14ac:dyDescent="0.25"/>
    <row r="240" s="9" customFormat="1" ht="20.100000000000001" customHeight="1" x14ac:dyDescent="0.25"/>
    <row r="241" s="9" customFormat="1" ht="20.100000000000001" customHeight="1" x14ac:dyDescent="0.25"/>
    <row r="242" s="9" customFormat="1" ht="20.100000000000001" customHeight="1" x14ac:dyDescent="0.25"/>
    <row r="243" s="9" customFormat="1" ht="20.100000000000001" customHeight="1" x14ac:dyDescent="0.25"/>
    <row r="244" s="9" customFormat="1" ht="20.100000000000001" customHeight="1" x14ac:dyDescent="0.25"/>
    <row r="245" s="9" customFormat="1" ht="20.100000000000001" customHeight="1" x14ac:dyDescent="0.25"/>
    <row r="246" s="9" customFormat="1" ht="20.100000000000001" customHeight="1" x14ac:dyDescent="0.25"/>
    <row r="247" s="9" customFormat="1" ht="20.100000000000001" customHeight="1" x14ac:dyDescent="0.25"/>
    <row r="248" s="9" customFormat="1" ht="20.100000000000001" customHeight="1" x14ac:dyDescent="0.25"/>
    <row r="249" s="9" customFormat="1" ht="20.100000000000001" customHeight="1" x14ac:dyDescent="0.25"/>
    <row r="250" s="9" customFormat="1" ht="20.100000000000001" customHeight="1" x14ac:dyDescent="0.25"/>
    <row r="251" s="9" customFormat="1" ht="20.100000000000001" customHeight="1" x14ac:dyDescent="0.25"/>
    <row r="252" s="9" customFormat="1" ht="20.100000000000001" customHeight="1" x14ac:dyDescent="0.25"/>
    <row r="253" s="9" customFormat="1" ht="20.100000000000001" customHeight="1" x14ac:dyDescent="0.25"/>
    <row r="254" s="9" customFormat="1" ht="20.100000000000001" customHeight="1" x14ac:dyDescent="0.25"/>
    <row r="255" s="9" customFormat="1" ht="20.100000000000001" customHeight="1" x14ac:dyDescent="0.25"/>
    <row r="256" s="9" customFormat="1" ht="20.100000000000001" customHeight="1" x14ac:dyDescent="0.25"/>
    <row r="257" s="9" customFormat="1" ht="20.100000000000001" customHeight="1" x14ac:dyDescent="0.25"/>
    <row r="258" s="9" customFormat="1" ht="20.100000000000001" customHeight="1" x14ac:dyDescent="0.25"/>
    <row r="259" s="9" customFormat="1" ht="20.100000000000001" customHeight="1" x14ac:dyDescent="0.25"/>
    <row r="260" s="9" customFormat="1" ht="20.100000000000001" customHeight="1" x14ac:dyDescent="0.25"/>
    <row r="261" s="9" customFormat="1" ht="20.100000000000001" customHeight="1" x14ac:dyDescent="0.25"/>
    <row r="262" s="9" customFormat="1" ht="20.100000000000001" customHeight="1" x14ac:dyDescent="0.25"/>
    <row r="263" s="9" customFormat="1" ht="20.100000000000001" customHeight="1" x14ac:dyDescent="0.25"/>
    <row r="264" s="9" customFormat="1" ht="20.100000000000001" customHeight="1" x14ac:dyDescent="0.25"/>
    <row r="265" s="9" customFormat="1" ht="20.100000000000001" customHeight="1" x14ac:dyDescent="0.25"/>
    <row r="266" s="9" customFormat="1" ht="20.100000000000001" customHeight="1" x14ac:dyDescent="0.25"/>
    <row r="267" s="9" customFormat="1" ht="20.100000000000001" customHeight="1" x14ac:dyDescent="0.25"/>
    <row r="268" s="9" customFormat="1" ht="20.100000000000001" customHeight="1" x14ac:dyDescent="0.25"/>
    <row r="269" s="9" customFormat="1" ht="20.100000000000001" customHeight="1" x14ac:dyDescent="0.25"/>
    <row r="270" s="9" customFormat="1" ht="20.100000000000001" customHeight="1" x14ac:dyDescent="0.25"/>
    <row r="271" s="9" customFormat="1" ht="20.100000000000001" customHeight="1" x14ac:dyDescent="0.25"/>
    <row r="272" s="9" customFormat="1" ht="20.100000000000001" customHeight="1" x14ac:dyDescent="0.25"/>
    <row r="273" s="9" customFormat="1" ht="20.100000000000001" customHeight="1" x14ac:dyDescent="0.25"/>
    <row r="274" s="9" customFormat="1" ht="20.100000000000001" customHeight="1" x14ac:dyDescent="0.25"/>
    <row r="275" s="9" customFormat="1" ht="20.100000000000001" customHeight="1" x14ac:dyDescent="0.25"/>
    <row r="276" s="9" customFormat="1" ht="20.100000000000001" customHeight="1" x14ac:dyDescent="0.25"/>
    <row r="277" s="9" customFormat="1" ht="20.100000000000001" customHeight="1" x14ac:dyDescent="0.25"/>
    <row r="278" s="9" customFormat="1" ht="20.100000000000001" customHeight="1" x14ac:dyDescent="0.25"/>
    <row r="279" s="9" customFormat="1" ht="20.100000000000001" customHeight="1" x14ac:dyDescent="0.25"/>
    <row r="280" s="9" customFormat="1" ht="20.100000000000001" customHeight="1" x14ac:dyDescent="0.25"/>
    <row r="281" s="9" customFormat="1" ht="20.100000000000001" customHeight="1" x14ac:dyDescent="0.25"/>
    <row r="282" s="9" customFormat="1" ht="20.100000000000001" customHeight="1" x14ac:dyDescent="0.25"/>
    <row r="283" s="9" customFormat="1" ht="20.100000000000001" customHeight="1" x14ac:dyDescent="0.25"/>
    <row r="284" s="9" customFormat="1" ht="20.100000000000001" customHeight="1" x14ac:dyDescent="0.25"/>
    <row r="285" s="9" customFormat="1" ht="20.100000000000001" customHeight="1" x14ac:dyDescent="0.25"/>
    <row r="286" s="9" customFormat="1" ht="20.100000000000001" customHeight="1" x14ac:dyDescent="0.25"/>
    <row r="287" s="9" customFormat="1" ht="20.100000000000001" customHeight="1" x14ac:dyDescent="0.25"/>
    <row r="288" s="9" customFormat="1" ht="20.100000000000001" customHeight="1" x14ac:dyDescent="0.25"/>
    <row r="289" s="9" customFormat="1" ht="20.100000000000001" customHeight="1" x14ac:dyDescent="0.25"/>
    <row r="290" s="9" customFormat="1" ht="20.100000000000001" customHeight="1" x14ac:dyDescent="0.25"/>
    <row r="291" s="9" customFormat="1" ht="20.100000000000001" customHeight="1" x14ac:dyDescent="0.25"/>
    <row r="292" s="9" customFormat="1" ht="20.100000000000001" customHeight="1" x14ac:dyDescent="0.25"/>
    <row r="293" s="9" customFormat="1" ht="20.100000000000001" customHeight="1" x14ac:dyDescent="0.25"/>
    <row r="294" s="9" customFormat="1" ht="20.100000000000001" customHeight="1" x14ac:dyDescent="0.25"/>
    <row r="295" s="9" customFormat="1" ht="20.100000000000001" customHeight="1" x14ac:dyDescent="0.25"/>
    <row r="296" s="9" customFormat="1" ht="20.100000000000001" customHeight="1" x14ac:dyDescent="0.25"/>
    <row r="297" s="9" customFormat="1" ht="20.100000000000001" customHeight="1" x14ac:dyDescent="0.25"/>
    <row r="298" s="9" customFormat="1" ht="20.100000000000001" customHeight="1" x14ac:dyDescent="0.25"/>
    <row r="299" s="9" customFormat="1" ht="20.100000000000001" customHeight="1" x14ac:dyDescent="0.25"/>
    <row r="300" s="9" customFormat="1" ht="20.100000000000001" customHeight="1" x14ac:dyDescent="0.25"/>
    <row r="301" s="9" customFormat="1" ht="20.100000000000001" customHeight="1" x14ac:dyDescent="0.25"/>
    <row r="302" s="9" customFormat="1" ht="20.100000000000001" customHeight="1" x14ac:dyDescent="0.25"/>
    <row r="303" s="9" customFormat="1" ht="20.100000000000001" customHeight="1" x14ac:dyDescent="0.25"/>
  </sheetData>
  <mergeCells count="5">
    <mergeCell ref="C3:F4"/>
    <mergeCell ref="I3:L4"/>
    <mergeCell ref="D18:E20"/>
    <mergeCell ref="J18:K20"/>
    <mergeCell ref="L1:M1"/>
  </mergeCells>
  <conditionalFormatting sqref="E14 K14">
    <cfRule type="expression" dxfId="102" priority="1">
      <formula>$C$5="Pesos"</formula>
    </cfRule>
    <cfRule type="expression" dxfId="101" priority="2">
      <formula>$C$5="Soles"</formula>
    </cfRule>
    <cfRule type="expression" dxfId="100" priority="3">
      <formula>$C$5="Bolivianos"</formula>
    </cfRule>
    <cfRule type="expression" dxfId="99" priority="4">
      <formula>$C$5="Euros"</formula>
    </cfRule>
    <cfRule type="expression" dxfId="98" priority="5">
      <formula>$C$5="Dólares"</formula>
    </cfRule>
  </conditionalFormatting>
  <dataValidations count="1">
    <dataValidation type="list" allowBlank="1" showInputMessage="1" showErrorMessage="1" sqref="E16 K16" xr:uid="{00000000-0002-0000-0100-000000000000}">
      <formula1>"Si,No"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1000000}">
          <x14:formula1>
            <xm:f>Configuración!$G$8:$G$19</xm:f>
          </x14:formula1>
          <xm:sqref>E12 K12</xm:sqref>
        </x14:dataValidation>
        <x14:dataValidation type="list" allowBlank="1" showInputMessage="1" showErrorMessage="1" xr:uid="{00000000-0002-0000-0100-000003000000}">
          <x14:formula1>
            <xm:f>Configuración!$D$9:$D$19</xm:f>
          </x14:formula1>
          <xm:sqref>E8</xm:sqref>
        </x14:dataValidation>
        <x14:dataValidation type="list" allowBlank="1" showInputMessage="1" showErrorMessage="1" xr:uid="{00000000-0002-0000-0100-000004000000}">
          <x14:formula1>
            <xm:f>Configuración!$E$9:$E$44</xm:f>
          </x14:formula1>
          <xm:sqref>K8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0084FF"/>
  </sheetPr>
  <dimension ref="A1:L201"/>
  <sheetViews>
    <sheetView topLeftCell="A169" zoomScale="80" zoomScaleNormal="80" workbookViewId="0">
      <selection activeCell="B196" sqref="B196"/>
    </sheetView>
  </sheetViews>
  <sheetFormatPr baseColWidth="10" defaultRowHeight="20.100000000000001" customHeight="1" x14ac:dyDescent="0.25"/>
  <cols>
    <col min="1" max="1" width="11.42578125" style="9"/>
    <col min="2" max="2" width="18.7109375" style="36" customWidth="1"/>
    <col min="3" max="3" width="15.7109375" style="1" customWidth="1"/>
    <col min="4" max="4" width="35.7109375" style="1" customWidth="1"/>
    <col min="5" max="5" width="50.7109375" style="1" customWidth="1"/>
    <col min="6" max="6" width="23.140625" style="1" bestFit="1" customWidth="1"/>
    <col min="7" max="7" width="20.7109375" style="1" customWidth="1"/>
    <col min="8" max="8" width="15.7109375" style="1" customWidth="1"/>
    <col min="9" max="10" width="20.7109375" style="1" customWidth="1"/>
    <col min="11" max="11" width="25.7109375" style="1" customWidth="1"/>
    <col min="12" max="12" width="11.42578125" style="9"/>
    <col min="13" max="16384" width="11.42578125" style="1"/>
  </cols>
  <sheetData>
    <row r="1" spans="1:12" ht="20.100000000000001" customHeight="1" x14ac:dyDescent="0.25">
      <c r="A1" s="12"/>
      <c r="B1" s="129"/>
      <c r="C1" s="12"/>
      <c r="D1" s="12"/>
      <c r="E1" s="164" t="s">
        <v>29</v>
      </c>
      <c r="F1" s="164"/>
      <c r="G1" s="164"/>
      <c r="H1" s="164"/>
      <c r="I1" s="12"/>
      <c r="J1" s="12"/>
      <c r="K1" s="12"/>
      <c r="L1" s="12"/>
    </row>
    <row r="2" spans="1:12" ht="20.100000000000001" customHeight="1" x14ac:dyDescent="0.25">
      <c r="A2" s="12"/>
      <c r="B2" s="129"/>
      <c r="C2" s="12"/>
      <c r="D2" s="12"/>
      <c r="E2" s="164"/>
      <c r="F2" s="164"/>
      <c r="G2" s="164"/>
      <c r="H2" s="164"/>
      <c r="I2" s="165" t="str">
        <f>Configuración!$B$8</f>
        <v>Nombre de tu empresa</v>
      </c>
      <c r="J2" s="165"/>
      <c r="K2" s="13">
        <f>Configuración!$B$11</f>
        <v>2024</v>
      </c>
      <c r="L2" s="12"/>
    </row>
    <row r="3" spans="1:12" ht="20.100000000000001" customHeight="1" x14ac:dyDescent="0.25">
      <c r="A3" s="12"/>
      <c r="B3" s="129"/>
      <c r="C3" s="12"/>
      <c r="D3" s="12"/>
      <c r="E3" s="164"/>
      <c r="F3" s="164"/>
      <c r="G3" s="164"/>
      <c r="H3" s="164"/>
      <c r="I3" s="12"/>
      <c r="J3" s="12"/>
      <c r="K3" s="12"/>
      <c r="L3" s="12"/>
    </row>
    <row r="4" spans="1:12" s="9" customFormat="1" ht="20.100000000000001" customHeight="1" x14ac:dyDescent="0.25">
      <c r="B4" s="34"/>
    </row>
    <row r="5" spans="1:12" ht="30" customHeight="1" x14ac:dyDescent="0.25">
      <c r="B5" s="166" t="s">
        <v>31</v>
      </c>
      <c r="C5" s="166"/>
      <c r="D5" s="67" t="s">
        <v>78</v>
      </c>
      <c r="E5" s="21" t="s">
        <v>32</v>
      </c>
      <c r="F5" s="168" t="s">
        <v>72</v>
      </c>
      <c r="G5" s="168"/>
      <c r="H5" s="170" t="s">
        <v>79</v>
      </c>
      <c r="I5" s="170"/>
      <c r="J5" s="162" t="s">
        <v>67</v>
      </c>
      <c r="K5" s="162"/>
    </row>
    <row r="6" spans="1:12" ht="35.1" customHeight="1" x14ac:dyDescent="0.25">
      <c r="B6" s="167" t="s">
        <v>30</v>
      </c>
      <c r="C6" s="167"/>
      <c r="D6" s="68">
        <f>Configuración!$B$33</f>
        <v>45597</v>
      </c>
      <c r="E6" s="23" t="str">
        <f>Configuración!$B$17</f>
        <v>Pesos</v>
      </c>
      <c r="F6" s="169">
        <f>SUMIFS(TablaIngresos[Ingreso],TablaIngresos[Fecha],"&gt;="&amp;$D$6,TablaIngresos[Fecha],"&lt;="&amp;$D$7)</f>
        <v>282844485.82000005</v>
      </c>
      <c r="G6" s="169"/>
      <c r="H6" s="171">
        <f>SUMIFS(TablaIngresos[Total Impuesto],TablaIngresos[Fecha],"&gt;="&amp;$D$6,TablaIngresos[Fecha],"&lt;="&amp;$D$7)</f>
        <v>0</v>
      </c>
      <c r="I6" s="171"/>
      <c r="J6" s="163">
        <f>$F$6-$H$6</f>
        <v>282844485.82000005</v>
      </c>
      <c r="K6" s="163"/>
    </row>
    <row r="7" spans="1:12" s="9" customFormat="1" ht="20.100000000000001" customHeight="1" x14ac:dyDescent="0.25">
      <c r="B7" s="34"/>
      <c r="D7" s="69">
        <f>Configuración!$I$23</f>
        <v>45961</v>
      </c>
    </row>
    <row r="8" spans="1:12" ht="24.95" customHeight="1" x14ac:dyDescent="0.25">
      <c r="B8" s="130" t="s">
        <v>22</v>
      </c>
      <c r="C8" s="14" t="s">
        <v>15</v>
      </c>
      <c r="D8" s="14" t="s">
        <v>23</v>
      </c>
      <c r="E8" s="14" t="s">
        <v>24</v>
      </c>
      <c r="F8" s="14" t="s">
        <v>25</v>
      </c>
      <c r="G8" s="14" t="s">
        <v>33</v>
      </c>
      <c r="H8" s="14" t="s">
        <v>26</v>
      </c>
      <c r="I8" s="14" t="s">
        <v>28</v>
      </c>
      <c r="J8" s="14" t="s">
        <v>27</v>
      </c>
      <c r="K8" s="15" t="s">
        <v>34</v>
      </c>
    </row>
    <row r="9" spans="1:12" ht="20.100000000000001" customHeight="1" x14ac:dyDescent="0.25">
      <c r="B9" s="140">
        <v>45627</v>
      </c>
      <c r="C9" s="128" t="str">
        <f>IF(Ingresos!$B9="","",TEXT(Ingresos!$B9,"MMMM" ))</f>
        <v>diciembre</v>
      </c>
      <c r="D9" s="16" t="s">
        <v>126</v>
      </c>
      <c r="E9" s="17"/>
      <c r="F9" s="16" t="s">
        <v>12</v>
      </c>
      <c r="G9" s="18">
        <v>163520.5</v>
      </c>
      <c r="H9" s="16"/>
      <c r="I9" s="19">
        <f>IF(TablaIngresos[[#This Row],[Impuesto]]="Si",Configuración!$B$20,0)</f>
        <v>0</v>
      </c>
      <c r="J9" s="22">
        <f>TablaIngresos[[#This Row],[Ingreso]]*TablaIngresos[[#This Row],[% de Impuesto]]</f>
        <v>0</v>
      </c>
      <c r="K9" s="22">
        <f>TablaIngresos[[#This Row],[Ingreso]]-TablaIngresos[[#This Row],[Total Impuesto]]</f>
        <v>163520.5</v>
      </c>
    </row>
    <row r="10" spans="1:12" s="9" customFormat="1" ht="20.100000000000001" customHeight="1" x14ac:dyDescent="0.25">
      <c r="B10" s="140">
        <v>45627</v>
      </c>
      <c r="C10" s="128" t="str">
        <f>IF(Ingresos!$B10="","",TEXT(Ingresos!$B10,"MMMM" ))</f>
        <v>diciembre</v>
      </c>
      <c r="D10" s="16" t="s">
        <v>126</v>
      </c>
      <c r="E10" s="17"/>
      <c r="F10" s="16" t="s">
        <v>123</v>
      </c>
      <c r="G10" s="18">
        <v>474434.56</v>
      </c>
      <c r="H10" s="16"/>
      <c r="I10" s="19">
        <f>IF(TablaIngresos[[#This Row],[Impuesto]]="Si",Configuración!$B$20,0)</f>
        <v>0</v>
      </c>
      <c r="J10" s="22">
        <f>TablaIngresos[[#This Row],[Ingreso]]*TablaIngresos[[#This Row],[% de Impuesto]]</f>
        <v>0</v>
      </c>
      <c r="K10" s="22">
        <f>TablaIngresos[[#This Row],[Ingreso]]-TablaIngresos[[#This Row],[Total Impuesto]]</f>
        <v>474434.56</v>
      </c>
    </row>
    <row r="11" spans="1:12" s="9" customFormat="1" ht="20.100000000000001" customHeight="1" x14ac:dyDescent="0.25">
      <c r="B11" s="140">
        <v>45627</v>
      </c>
      <c r="C11" s="128" t="str">
        <f>IF(Ingresos!$B11="","",TEXT(Ingresos!$B11,"MMMM" ))</f>
        <v>diciembre</v>
      </c>
      <c r="D11" s="16" t="s">
        <v>130</v>
      </c>
      <c r="E11" s="17"/>
      <c r="F11" s="16" t="s">
        <v>12</v>
      </c>
      <c r="G11" s="18">
        <v>376804.53</v>
      </c>
      <c r="H11" s="16"/>
      <c r="I11" s="19">
        <f>IF(TablaIngresos[[#This Row],[Impuesto]]="Si",Configuración!$B$20,0)</f>
        <v>0</v>
      </c>
      <c r="J11" s="22">
        <f>TablaIngresos[[#This Row],[Ingreso]]*TablaIngresos[[#This Row],[% de Impuesto]]</f>
        <v>0</v>
      </c>
      <c r="K11" s="22">
        <f>TablaIngresos[[#This Row],[Ingreso]]-TablaIngresos[[#This Row],[Total Impuesto]]</f>
        <v>376804.53</v>
      </c>
    </row>
    <row r="12" spans="1:12" s="9" customFormat="1" ht="20.100000000000001" customHeight="1" x14ac:dyDescent="0.25">
      <c r="B12" s="140">
        <v>45627</v>
      </c>
      <c r="C12" s="128" t="str">
        <f>IF(Ingresos!$B12="","",TEXT(Ingresos!$B12,"MMMM" ))</f>
        <v>diciembre</v>
      </c>
      <c r="D12" s="16" t="s">
        <v>130</v>
      </c>
      <c r="E12" s="17"/>
      <c r="F12" s="16" t="s">
        <v>123</v>
      </c>
      <c r="G12" s="18">
        <v>2771944.47</v>
      </c>
      <c r="H12" s="16"/>
      <c r="I12" s="19">
        <f>IF(TablaIngresos[[#This Row],[Impuesto]]="Si",Configuración!$B$20,0)</f>
        <v>0</v>
      </c>
      <c r="J12" s="22">
        <f>TablaIngresos[[#This Row],[Ingreso]]*TablaIngresos[[#This Row],[% de Impuesto]]</f>
        <v>0</v>
      </c>
      <c r="K12" s="22">
        <f>TablaIngresos[[#This Row],[Ingreso]]-TablaIngresos[[#This Row],[Total Impuesto]]</f>
        <v>2771944.47</v>
      </c>
    </row>
    <row r="13" spans="1:12" s="9" customFormat="1" ht="20.100000000000001" customHeight="1" x14ac:dyDescent="0.25">
      <c r="B13" s="140">
        <v>45627</v>
      </c>
      <c r="C13" s="128" t="str">
        <f>IF(Ingresos!$B13="","",TEXT(Ingresos!$B13,"MMMM" ))</f>
        <v>diciembre</v>
      </c>
      <c r="D13" s="16" t="s">
        <v>127</v>
      </c>
      <c r="E13" s="17"/>
      <c r="F13" s="16" t="s">
        <v>12</v>
      </c>
      <c r="G13" s="18">
        <v>577541.19999999995</v>
      </c>
      <c r="H13" s="16"/>
      <c r="I13" s="19">
        <f>IF(TablaIngresos[[#This Row],[Impuesto]]="Si",Configuración!$B$20,0)</f>
        <v>0</v>
      </c>
      <c r="J13" s="22">
        <f>TablaIngresos[[#This Row],[Ingreso]]*TablaIngresos[[#This Row],[% de Impuesto]]</f>
        <v>0</v>
      </c>
      <c r="K13" s="22">
        <f>TablaIngresos[[#This Row],[Ingreso]]-TablaIngresos[[#This Row],[Total Impuesto]]</f>
        <v>577541.19999999995</v>
      </c>
    </row>
    <row r="14" spans="1:12" s="9" customFormat="1" ht="20.100000000000001" customHeight="1" x14ac:dyDescent="0.25">
      <c r="B14" s="140">
        <v>45627</v>
      </c>
      <c r="C14" s="128" t="str">
        <f>IF(Ingresos!$B14="","",TEXT(Ingresos!$B14,"MMMM" ))</f>
        <v>diciembre</v>
      </c>
      <c r="D14" s="16" t="s">
        <v>130</v>
      </c>
      <c r="E14" s="17"/>
      <c r="F14" s="16" t="s">
        <v>123</v>
      </c>
      <c r="G14" s="18">
        <v>1754538.04</v>
      </c>
      <c r="H14" s="16"/>
      <c r="I14" s="19">
        <f>IF(TablaIngresos[[#This Row],[Impuesto]]="Si",Configuración!$B$20,0)</f>
        <v>0</v>
      </c>
      <c r="J14" s="22">
        <f>TablaIngresos[[#This Row],[Ingreso]]*TablaIngresos[[#This Row],[% de Impuesto]]</f>
        <v>0</v>
      </c>
      <c r="K14" s="22">
        <f>TablaIngresos[[#This Row],[Ingreso]]-TablaIngresos[[#This Row],[Total Impuesto]]</f>
        <v>1754538.04</v>
      </c>
    </row>
    <row r="15" spans="1:12" s="9" customFormat="1" ht="20.100000000000001" customHeight="1" x14ac:dyDescent="0.25">
      <c r="B15" s="140">
        <v>45628</v>
      </c>
      <c r="C15" s="128" t="str">
        <f>IF(Ingresos!$B15="","",TEXT(Ingresos!$B15,"MMMM" ))</f>
        <v>diciembre</v>
      </c>
      <c r="D15" s="16" t="s">
        <v>126</v>
      </c>
      <c r="E15" s="17"/>
      <c r="F15" s="16" t="s">
        <v>12</v>
      </c>
      <c r="G15" s="18">
        <v>150567.23000000001</v>
      </c>
      <c r="H15" s="16"/>
      <c r="I15" s="19">
        <f>IF(TablaIngresos[[#This Row],[Impuesto]]="Si",Configuración!$B$20,0)</f>
        <v>0</v>
      </c>
      <c r="J15" s="22">
        <f>TablaIngresos[[#This Row],[Ingreso]]*TablaIngresos[[#This Row],[% de Impuesto]]</f>
        <v>0</v>
      </c>
      <c r="K15" s="22">
        <f>TablaIngresos[[#This Row],[Ingreso]]-TablaIngresos[[#This Row],[Total Impuesto]]</f>
        <v>150567.23000000001</v>
      </c>
    </row>
    <row r="16" spans="1:12" s="9" customFormat="1" ht="20.100000000000001" customHeight="1" x14ac:dyDescent="0.25">
      <c r="B16" s="140">
        <v>45628</v>
      </c>
      <c r="C16" s="128" t="str">
        <f>IF(Ingresos!$B16="","",TEXT(Ingresos!$B16,"MMMM" ))</f>
        <v>diciembre</v>
      </c>
      <c r="D16" s="16" t="s">
        <v>126</v>
      </c>
      <c r="E16" s="17"/>
      <c r="F16" s="16" t="s">
        <v>123</v>
      </c>
      <c r="G16" s="18">
        <v>236600.42</v>
      </c>
      <c r="H16" s="16"/>
      <c r="I16" s="19">
        <f>IF(TablaIngresos[[#This Row],[Impuesto]]="Si",Configuración!$B$20,0)</f>
        <v>0</v>
      </c>
      <c r="J16" s="22">
        <f>TablaIngresos[[#This Row],[Ingreso]]*TablaIngresos[[#This Row],[% de Impuesto]]</f>
        <v>0</v>
      </c>
      <c r="K16" s="22">
        <f>TablaIngresos[[#This Row],[Ingreso]]-TablaIngresos[[#This Row],[Total Impuesto]]</f>
        <v>236600.42</v>
      </c>
    </row>
    <row r="17" spans="2:11" s="9" customFormat="1" ht="20.100000000000001" customHeight="1" x14ac:dyDescent="0.25">
      <c r="B17" s="140">
        <v>45628</v>
      </c>
      <c r="C17" s="128" t="str">
        <f>IF(Ingresos!$B17="","",TEXT(Ingresos!$B17,"MMMM" ))</f>
        <v>diciembre</v>
      </c>
      <c r="D17" s="16" t="s">
        <v>130</v>
      </c>
      <c r="E17" s="17"/>
      <c r="F17" s="16" t="s">
        <v>12</v>
      </c>
      <c r="G17" s="18">
        <v>341784.67</v>
      </c>
      <c r="H17" s="16"/>
      <c r="I17" s="19">
        <f>IF(TablaIngresos[[#This Row],[Impuesto]]="Si",Configuración!$B$20,0)</f>
        <v>0</v>
      </c>
      <c r="J17" s="22">
        <f>TablaIngresos[[#This Row],[Ingreso]]*TablaIngresos[[#This Row],[% de Impuesto]]</f>
        <v>0</v>
      </c>
      <c r="K17" s="22">
        <f>TablaIngresos[[#This Row],[Ingreso]]-TablaIngresos[[#This Row],[Total Impuesto]]</f>
        <v>341784.67</v>
      </c>
    </row>
    <row r="18" spans="2:11" s="9" customFormat="1" ht="20.100000000000001" customHeight="1" x14ac:dyDescent="0.25">
      <c r="B18" s="140">
        <v>45628</v>
      </c>
      <c r="C18" s="128" t="str">
        <f>IF(Ingresos!$B18="","",TEXT(Ingresos!$B18,"MMMM" ))</f>
        <v>diciembre</v>
      </c>
      <c r="D18" s="16" t="s">
        <v>130</v>
      </c>
      <c r="E18" s="17"/>
      <c r="F18" s="16" t="s">
        <v>123</v>
      </c>
      <c r="G18" s="18">
        <v>648083.5</v>
      </c>
      <c r="H18" s="16"/>
      <c r="I18" s="19">
        <f>IF(TablaIngresos[[#This Row],[Impuesto]]="Si",Configuración!$B$20,0)</f>
        <v>0</v>
      </c>
      <c r="J18" s="22">
        <f>TablaIngresos[[#This Row],[Ingreso]]*TablaIngresos[[#This Row],[% de Impuesto]]</f>
        <v>0</v>
      </c>
      <c r="K18" s="22">
        <f>TablaIngresos[[#This Row],[Ingreso]]-TablaIngresos[[#This Row],[Total Impuesto]]</f>
        <v>648083.5</v>
      </c>
    </row>
    <row r="19" spans="2:11" s="9" customFormat="1" ht="20.100000000000001" customHeight="1" x14ac:dyDescent="0.25">
      <c r="B19" s="140">
        <v>45628</v>
      </c>
      <c r="C19" s="128" t="str">
        <f>IF(Ingresos!$B19="","",TEXT(Ingresos!$B19,"MMMM" ))</f>
        <v>diciembre</v>
      </c>
      <c r="D19" s="16" t="s">
        <v>127</v>
      </c>
      <c r="E19" s="17"/>
      <c r="F19" s="16" t="s">
        <v>12</v>
      </c>
      <c r="G19" s="18">
        <v>653660.62</v>
      </c>
      <c r="H19" s="16"/>
      <c r="I19" s="19">
        <f>IF(TablaIngresos[[#This Row],[Impuesto]]="Si",Configuración!$B$20,0)</f>
        <v>0</v>
      </c>
      <c r="J19" s="22">
        <f>TablaIngresos[[#This Row],[Ingreso]]*TablaIngresos[[#This Row],[% de Impuesto]]</f>
        <v>0</v>
      </c>
      <c r="K19" s="22">
        <f>TablaIngresos[[#This Row],[Ingreso]]-TablaIngresos[[#This Row],[Total Impuesto]]</f>
        <v>653660.62</v>
      </c>
    </row>
    <row r="20" spans="2:11" s="9" customFormat="1" ht="20.100000000000001" customHeight="1" x14ac:dyDescent="0.25">
      <c r="B20" s="140">
        <v>45628</v>
      </c>
      <c r="C20" s="128" t="str">
        <f>IF(Ingresos!$B20="","",TEXT(Ingresos!$B20,"MMMM" ))</f>
        <v>diciembre</v>
      </c>
      <c r="D20" s="16" t="s">
        <v>127</v>
      </c>
      <c r="E20" s="17"/>
      <c r="F20" s="16" t="s">
        <v>123</v>
      </c>
      <c r="G20" s="18">
        <v>1129911.7</v>
      </c>
      <c r="H20" s="16"/>
      <c r="I20" s="19">
        <f>IF(TablaIngresos[[#This Row],[Impuesto]]="Si",Configuración!$B$20,0)</f>
        <v>0</v>
      </c>
      <c r="J20" s="22">
        <f>TablaIngresos[[#This Row],[Ingreso]]*TablaIngresos[[#This Row],[% de Impuesto]]</f>
        <v>0</v>
      </c>
      <c r="K20" s="22">
        <f>TablaIngresos[[#This Row],[Ingreso]]-TablaIngresos[[#This Row],[Total Impuesto]]</f>
        <v>1129911.7</v>
      </c>
    </row>
    <row r="21" spans="2:11" s="9" customFormat="1" ht="20.100000000000001" customHeight="1" x14ac:dyDescent="0.25">
      <c r="B21" s="140">
        <v>45629</v>
      </c>
      <c r="C21" s="128" t="str">
        <f>IF(Ingresos!$B21="","",TEXT(Ingresos!$B21,"MMMM" ))</f>
        <v>diciembre</v>
      </c>
      <c r="D21" s="16" t="s">
        <v>126</v>
      </c>
      <c r="E21" s="17"/>
      <c r="F21" s="16" t="s">
        <v>12</v>
      </c>
      <c r="G21" s="18">
        <v>292106.5</v>
      </c>
      <c r="H21" s="16"/>
      <c r="I21" s="19">
        <f>IF(TablaIngresos[[#This Row],[Impuesto]]="Si",Configuración!$B$20,0)</f>
        <v>0</v>
      </c>
      <c r="J21" s="22">
        <f>TablaIngresos[[#This Row],[Ingreso]]*TablaIngresos[[#This Row],[% de Impuesto]]</f>
        <v>0</v>
      </c>
      <c r="K21" s="22">
        <f>TablaIngresos[[#This Row],[Ingreso]]-TablaIngresos[[#This Row],[Total Impuesto]]</f>
        <v>292106.5</v>
      </c>
    </row>
    <row r="22" spans="2:11" s="9" customFormat="1" ht="20.100000000000001" customHeight="1" x14ac:dyDescent="0.25">
      <c r="B22" s="140">
        <v>45629</v>
      </c>
      <c r="C22" s="128" t="str">
        <f>IF(Ingresos!$B22="","",TEXT(Ingresos!$B22,"MMMM" ))</f>
        <v>diciembre</v>
      </c>
      <c r="D22" s="16" t="s">
        <v>126</v>
      </c>
      <c r="E22" s="17"/>
      <c r="F22" s="16" t="s">
        <v>123</v>
      </c>
      <c r="G22" s="18">
        <v>358122.43</v>
      </c>
      <c r="H22" s="16"/>
      <c r="I22" s="19">
        <f>IF(TablaIngresos[[#This Row],[Impuesto]]="Si",Configuración!$B$20,0)</f>
        <v>0</v>
      </c>
      <c r="J22" s="22">
        <f>TablaIngresos[[#This Row],[Ingreso]]*TablaIngresos[[#This Row],[% de Impuesto]]</f>
        <v>0</v>
      </c>
      <c r="K22" s="22">
        <f>TablaIngresos[[#This Row],[Ingreso]]-TablaIngresos[[#This Row],[Total Impuesto]]</f>
        <v>358122.43</v>
      </c>
    </row>
    <row r="23" spans="2:11" s="9" customFormat="1" ht="20.100000000000001" customHeight="1" x14ac:dyDescent="0.25">
      <c r="B23" s="140">
        <v>45629</v>
      </c>
      <c r="C23" s="128" t="str">
        <f>IF(Ingresos!$B23="","",TEXT(Ingresos!$B23,"MMMM" ))</f>
        <v>diciembre</v>
      </c>
      <c r="D23" s="16" t="s">
        <v>130</v>
      </c>
      <c r="E23" s="17"/>
      <c r="F23" s="16" t="s">
        <v>12</v>
      </c>
      <c r="G23" s="18">
        <v>1151441.19</v>
      </c>
      <c r="H23" s="16"/>
      <c r="I23" s="19">
        <f>IF(TablaIngresos[[#This Row],[Impuesto]]="Si",Configuración!$B$20,0)</f>
        <v>0</v>
      </c>
      <c r="J23" s="22">
        <f>TablaIngresos[[#This Row],[Ingreso]]*TablaIngresos[[#This Row],[% de Impuesto]]</f>
        <v>0</v>
      </c>
      <c r="K23" s="22">
        <f>TablaIngresos[[#This Row],[Ingreso]]-TablaIngresos[[#This Row],[Total Impuesto]]</f>
        <v>1151441.19</v>
      </c>
    </row>
    <row r="24" spans="2:11" s="9" customFormat="1" ht="20.100000000000001" customHeight="1" x14ac:dyDescent="0.25">
      <c r="B24" s="140">
        <v>45629</v>
      </c>
      <c r="C24" s="128" t="str">
        <f>IF(Ingresos!$B24="","",TEXT(Ingresos!$B24,"MMMM" ))</f>
        <v>diciembre</v>
      </c>
      <c r="D24" s="16" t="s">
        <v>130</v>
      </c>
      <c r="E24" s="17"/>
      <c r="F24" s="16" t="s">
        <v>123</v>
      </c>
      <c r="G24" s="18">
        <v>1389561.77</v>
      </c>
      <c r="H24" s="16"/>
      <c r="I24" s="19">
        <f>IF(TablaIngresos[[#This Row],[Impuesto]]="Si",Configuración!$B$20,0)</f>
        <v>0</v>
      </c>
      <c r="J24" s="22">
        <f>TablaIngresos[[#This Row],[Ingreso]]*TablaIngresos[[#This Row],[% de Impuesto]]</f>
        <v>0</v>
      </c>
      <c r="K24" s="22">
        <f>TablaIngresos[[#This Row],[Ingreso]]-TablaIngresos[[#This Row],[Total Impuesto]]</f>
        <v>1389561.77</v>
      </c>
    </row>
    <row r="25" spans="2:11" s="9" customFormat="1" ht="20.100000000000001" customHeight="1" x14ac:dyDescent="0.25">
      <c r="B25" s="140">
        <v>45629</v>
      </c>
      <c r="C25" s="128" t="str">
        <f>IF(Ingresos!$B25="","",TEXT(Ingresos!$B25,"MMMM" ))</f>
        <v>diciembre</v>
      </c>
      <c r="D25" s="16" t="s">
        <v>127</v>
      </c>
      <c r="E25" s="17"/>
      <c r="F25" s="16" t="s">
        <v>12</v>
      </c>
      <c r="G25" s="18">
        <v>775877.84</v>
      </c>
      <c r="H25" s="16"/>
      <c r="I25" s="19">
        <f>IF(TablaIngresos[[#This Row],[Impuesto]]="Si",Configuración!$B$20,0)</f>
        <v>0</v>
      </c>
      <c r="J25" s="22">
        <f>TablaIngresos[[#This Row],[Ingreso]]*TablaIngresos[[#This Row],[% de Impuesto]]</f>
        <v>0</v>
      </c>
      <c r="K25" s="22">
        <f>TablaIngresos[[#This Row],[Ingreso]]-TablaIngresos[[#This Row],[Total Impuesto]]</f>
        <v>775877.84</v>
      </c>
    </row>
    <row r="26" spans="2:11" s="9" customFormat="1" ht="20.100000000000001" customHeight="1" x14ac:dyDescent="0.25">
      <c r="B26" s="140">
        <v>45629</v>
      </c>
      <c r="C26" s="128" t="str">
        <f>IF(Ingresos!$B26="","",TEXT(Ingresos!$B26,"MMMM" ))</f>
        <v>diciembre</v>
      </c>
      <c r="D26" s="16" t="s">
        <v>127</v>
      </c>
      <c r="E26" s="17"/>
      <c r="F26" s="16" t="s">
        <v>123</v>
      </c>
      <c r="G26" s="18">
        <v>1514642.89</v>
      </c>
      <c r="H26" s="16"/>
      <c r="I26" s="19">
        <f>IF(TablaIngresos[[#This Row],[Impuesto]]="Si",Configuración!$B$20,0)</f>
        <v>0</v>
      </c>
      <c r="J26" s="22">
        <f>TablaIngresos[[#This Row],[Ingreso]]*TablaIngresos[[#This Row],[% de Impuesto]]</f>
        <v>0</v>
      </c>
      <c r="K26" s="22">
        <f>TablaIngresos[[#This Row],[Ingreso]]-TablaIngresos[[#This Row],[Total Impuesto]]</f>
        <v>1514642.89</v>
      </c>
    </row>
    <row r="27" spans="2:11" s="9" customFormat="1" ht="20.100000000000001" customHeight="1" x14ac:dyDescent="0.25">
      <c r="B27" s="140">
        <v>45630</v>
      </c>
      <c r="C27" s="128" t="str">
        <f>IF(Ingresos!$B27="","",TEXT(Ingresos!$B27,"MMMM" ))</f>
        <v>diciembre</v>
      </c>
      <c r="D27" s="16" t="s">
        <v>126</v>
      </c>
      <c r="E27" s="17"/>
      <c r="F27" s="16" t="s">
        <v>12</v>
      </c>
      <c r="G27" s="18">
        <v>396420.46</v>
      </c>
      <c r="H27" s="16"/>
      <c r="I27" s="19">
        <f>IF(TablaIngresos[[#This Row],[Impuesto]]="Si",Configuración!$B$20,0)</f>
        <v>0</v>
      </c>
      <c r="J27" s="22">
        <f>TablaIngresos[[#This Row],[Ingreso]]*TablaIngresos[[#This Row],[% de Impuesto]]</f>
        <v>0</v>
      </c>
      <c r="K27" s="22">
        <f>TablaIngresos[[#This Row],[Ingreso]]-TablaIngresos[[#This Row],[Total Impuesto]]</f>
        <v>396420.46</v>
      </c>
    </row>
    <row r="28" spans="2:11" s="9" customFormat="1" ht="20.100000000000001" customHeight="1" x14ac:dyDescent="0.25">
      <c r="B28" s="140">
        <v>45630</v>
      </c>
      <c r="C28" s="128" t="str">
        <f>IF(Ingresos!$B28="","",TEXT(Ingresos!$B28,"MMMM" ))</f>
        <v>diciembre</v>
      </c>
      <c r="D28" s="16" t="s">
        <v>126</v>
      </c>
      <c r="E28" s="17"/>
      <c r="F28" s="16" t="s">
        <v>123</v>
      </c>
      <c r="G28" s="18">
        <v>983420.69</v>
      </c>
      <c r="H28" s="16"/>
      <c r="I28" s="19">
        <f>IF(TablaIngresos[[#This Row],[Impuesto]]="Si",Configuración!$B$20,0)</f>
        <v>0</v>
      </c>
      <c r="J28" s="22">
        <f>TablaIngresos[[#This Row],[Ingreso]]*TablaIngresos[[#This Row],[% de Impuesto]]</f>
        <v>0</v>
      </c>
      <c r="K28" s="22">
        <f>TablaIngresos[[#This Row],[Ingreso]]-TablaIngresos[[#This Row],[Total Impuesto]]</f>
        <v>983420.69</v>
      </c>
    </row>
    <row r="29" spans="2:11" s="9" customFormat="1" ht="20.100000000000001" customHeight="1" x14ac:dyDescent="0.25">
      <c r="B29" s="140">
        <v>45630</v>
      </c>
      <c r="C29" s="128" t="str">
        <f>IF(Ingresos!$B29="","",TEXT(Ingresos!$B29,"MMMM" ))</f>
        <v>diciembre</v>
      </c>
      <c r="D29" s="16" t="s">
        <v>127</v>
      </c>
      <c r="E29" s="17"/>
      <c r="F29" s="16" t="s">
        <v>12</v>
      </c>
      <c r="G29" s="18">
        <v>1445387.78</v>
      </c>
      <c r="H29" s="16"/>
      <c r="I29" s="19">
        <f>IF(TablaIngresos[[#This Row],[Impuesto]]="Si",Configuración!$B$20,0)</f>
        <v>0</v>
      </c>
      <c r="J29" s="22">
        <f>TablaIngresos[[#This Row],[Ingreso]]*TablaIngresos[[#This Row],[% de Impuesto]]</f>
        <v>0</v>
      </c>
      <c r="K29" s="22">
        <f>TablaIngresos[[#This Row],[Ingreso]]-TablaIngresos[[#This Row],[Total Impuesto]]</f>
        <v>1445387.78</v>
      </c>
    </row>
    <row r="30" spans="2:11" s="9" customFormat="1" ht="20.100000000000001" customHeight="1" x14ac:dyDescent="0.25">
      <c r="B30" s="140">
        <v>45630</v>
      </c>
      <c r="C30" s="128" t="str">
        <f>IF(Ingresos!$B30="","",TEXT(Ingresos!$B30,"MMMM" ))</f>
        <v>diciembre</v>
      </c>
      <c r="D30" s="16" t="s">
        <v>127</v>
      </c>
      <c r="E30" s="17"/>
      <c r="F30" s="16" t="s">
        <v>123</v>
      </c>
      <c r="G30" s="18">
        <v>967996.41</v>
      </c>
      <c r="H30" s="16"/>
      <c r="I30" s="19">
        <f>IF(TablaIngresos[[#This Row],[Impuesto]]="Si",Configuración!$B$20,0)</f>
        <v>0</v>
      </c>
      <c r="J30" s="22">
        <f>TablaIngresos[[#This Row],[Ingreso]]*TablaIngresos[[#This Row],[% de Impuesto]]</f>
        <v>0</v>
      </c>
      <c r="K30" s="22">
        <f>TablaIngresos[[#This Row],[Ingreso]]-TablaIngresos[[#This Row],[Total Impuesto]]</f>
        <v>967996.41</v>
      </c>
    </row>
    <row r="31" spans="2:11" s="9" customFormat="1" ht="20.100000000000001" customHeight="1" x14ac:dyDescent="0.25">
      <c r="B31" s="140">
        <v>45631</v>
      </c>
      <c r="C31" s="128" t="str">
        <f>IF(Ingresos!$B31="","",TEXT(Ingresos!$B31,"MMMM" ))</f>
        <v>diciembre</v>
      </c>
      <c r="D31" s="16" t="s">
        <v>126</v>
      </c>
      <c r="E31" s="17"/>
      <c r="F31" s="16" t="s">
        <v>12</v>
      </c>
      <c r="G31" s="18">
        <v>353026.31</v>
      </c>
      <c r="H31" s="16"/>
      <c r="I31" s="19">
        <f>IF(TablaIngresos[[#This Row],[Impuesto]]="Si",Configuración!$B$20,0)</f>
        <v>0</v>
      </c>
      <c r="J31" s="22">
        <f>TablaIngresos[[#This Row],[Ingreso]]*TablaIngresos[[#This Row],[% de Impuesto]]</f>
        <v>0</v>
      </c>
      <c r="K31" s="22">
        <f>TablaIngresos[[#This Row],[Ingreso]]-TablaIngresos[[#This Row],[Total Impuesto]]</f>
        <v>353026.31</v>
      </c>
    </row>
    <row r="32" spans="2:11" s="9" customFormat="1" ht="20.100000000000001" customHeight="1" x14ac:dyDescent="0.25">
      <c r="B32" s="140">
        <v>45631</v>
      </c>
      <c r="C32" s="128" t="str">
        <f>IF(Ingresos!$B32="","",TEXT(Ingresos!$B32,"MMMM" ))</f>
        <v>diciembre</v>
      </c>
      <c r="D32" s="16" t="s">
        <v>126</v>
      </c>
      <c r="E32" s="17"/>
      <c r="F32" s="16" t="s">
        <v>123</v>
      </c>
      <c r="G32" s="18">
        <v>1258045.02</v>
      </c>
      <c r="H32" s="16"/>
      <c r="I32" s="19">
        <f>IF(TablaIngresos[[#This Row],[Impuesto]]="Si",Configuración!$B$20,0)</f>
        <v>0</v>
      </c>
      <c r="J32" s="22">
        <f>TablaIngresos[[#This Row],[Ingreso]]*TablaIngresos[[#This Row],[% de Impuesto]]</f>
        <v>0</v>
      </c>
      <c r="K32" s="22">
        <f>TablaIngresos[[#This Row],[Ingreso]]-TablaIngresos[[#This Row],[Total Impuesto]]</f>
        <v>1258045.02</v>
      </c>
    </row>
    <row r="33" spans="2:11" s="9" customFormat="1" ht="20.100000000000001" customHeight="1" x14ac:dyDescent="0.25">
      <c r="B33" s="140">
        <v>45631</v>
      </c>
      <c r="C33" s="128" t="str">
        <f>IF(Ingresos!$B33="","",TEXT(Ingresos!$B33,"MMMM" ))</f>
        <v>diciembre</v>
      </c>
      <c r="D33" s="16" t="s">
        <v>127</v>
      </c>
      <c r="E33" s="17"/>
      <c r="F33" s="16" t="s">
        <v>12</v>
      </c>
      <c r="G33" s="18">
        <v>748403.23</v>
      </c>
      <c r="H33" s="16"/>
      <c r="I33" s="19">
        <f>IF(TablaIngresos[[#This Row],[Impuesto]]="Si",Configuración!$B$20,0)</f>
        <v>0</v>
      </c>
      <c r="J33" s="22">
        <f>TablaIngresos[[#This Row],[Ingreso]]*TablaIngresos[[#This Row],[% de Impuesto]]</f>
        <v>0</v>
      </c>
      <c r="K33" s="22">
        <f>TablaIngresos[[#This Row],[Ingreso]]-TablaIngresos[[#This Row],[Total Impuesto]]</f>
        <v>748403.23</v>
      </c>
    </row>
    <row r="34" spans="2:11" s="9" customFormat="1" ht="20.100000000000001" customHeight="1" x14ac:dyDescent="0.25">
      <c r="B34" s="140">
        <v>45631</v>
      </c>
      <c r="C34" s="128" t="str">
        <f>IF(Ingresos!$B34="","",TEXT(Ingresos!$B34,"MMMM" ))</f>
        <v>diciembre</v>
      </c>
      <c r="D34" s="16" t="s">
        <v>127</v>
      </c>
      <c r="E34" s="17"/>
      <c r="F34" s="16" t="s">
        <v>123</v>
      </c>
      <c r="G34" s="18">
        <v>1650896.7</v>
      </c>
      <c r="H34" s="16"/>
      <c r="I34" s="19">
        <f>IF(TablaIngresos[[#This Row],[Impuesto]]="Si",Configuración!$B$20,0)</f>
        <v>0</v>
      </c>
      <c r="J34" s="22">
        <f>TablaIngresos[[#This Row],[Ingreso]]*TablaIngresos[[#This Row],[% de Impuesto]]</f>
        <v>0</v>
      </c>
      <c r="K34" s="22">
        <f>TablaIngresos[[#This Row],[Ingreso]]-TablaIngresos[[#This Row],[Total Impuesto]]</f>
        <v>1650896.7</v>
      </c>
    </row>
    <row r="35" spans="2:11" s="9" customFormat="1" ht="20.100000000000001" customHeight="1" x14ac:dyDescent="0.25">
      <c r="B35" s="140">
        <v>45632</v>
      </c>
      <c r="C35" s="128" t="str">
        <f>IF(Ingresos!$B35="","",TEXT(Ingresos!$B35,"MMMM" ))</f>
        <v>diciembre</v>
      </c>
      <c r="D35" s="16" t="s">
        <v>129</v>
      </c>
      <c r="E35" s="17"/>
      <c r="F35" s="16" t="s">
        <v>12</v>
      </c>
      <c r="G35" s="18">
        <v>49000</v>
      </c>
      <c r="H35" s="16"/>
      <c r="I35" s="19">
        <f>IF(TablaIngresos[[#This Row],[Impuesto]]="Si",Configuración!$B$20,0)</f>
        <v>0</v>
      </c>
      <c r="J35" s="22">
        <f>TablaIngresos[[#This Row],[Ingreso]]*TablaIngresos[[#This Row],[% de Impuesto]]</f>
        <v>0</v>
      </c>
      <c r="K35" s="22">
        <f>TablaIngresos[[#This Row],[Ingreso]]-TablaIngresos[[#This Row],[Total Impuesto]]</f>
        <v>49000</v>
      </c>
    </row>
    <row r="36" spans="2:11" s="9" customFormat="1" ht="20.100000000000001" customHeight="1" x14ac:dyDescent="0.25">
      <c r="B36" s="140">
        <v>45632</v>
      </c>
      <c r="C36" s="128" t="str">
        <f>IF(Ingresos!$B36="","",TEXT(Ingresos!$B36,"MMMM" ))</f>
        <v>diciembre</v>
      </c>
      <c r="D36" s="16" t="s">
        <v>129</v>
      </c>
      <c r="E36" s="17"/>
      <c r="F36" s="16" t="s">
        <v>13</v>
      </c>
      <c r="G36" s="18">
        <v>59839.11</v>
      </c>
      <c r="H36" s="16"/>
      <c r="I36" s="19">
        <f>IF(TablaIngresos[[#This Row],[Impuesto]]="Si",Configuración!$B$20,0)</f>
        <v>0</v>
      </c>
      <c r="J36" s="22">
        <f>TablaIngresos[[#This Row],[Ingreso]]*TablaIngresos[[#This Row],[% de Impuesto]]</f>
        <v>0</v>
      </c>
      <c r="K36" s="22">
        <f>TablaIngresos[[#This Row],[Ingreso]]-TablaIngresos[[#This Row],[Total Impuesto]]</f>
        <v>59839.11</v>
      </c>
    </row>
    <row r="37" spans="2:11" s="9" customFormat="1" ht="20.100000000000001" customHeight="1" x14ac:dyDescent="0.25">
      <c r="B37" s="140">
        <v>45632</v>
      </c>
      <c r="C37" s="128" t="str">
        <f>IF(Ingresos!$B37="","",TEXT(Ingresos!$B37,"MMMM" ))</f>
        <v>diciembre</v>
      </c>
      <c r="D37" s="16" t="s">
        <v>129</v>
      </c>
      <c r="E37" s="17" t="s">
        <v>201</v>
      </c>
      <c r="F37" s="16" t="s">
        <v>13</v>
      </c>
      <c r="G37" s="18">
        <v>164353</v>
      </c>
      <c r="H37" s="16"/>
      <c r="I37" s="19">
        <f>IF(TablaIngresos[[#This Row],[Impuesto]]="Si",Configuración!$B$20,0)</f>
        <v>0</v>
      </c>
      <c r="J37" s="22">
        <f>TablaIngresos[[#This Row],[Ingreso]]*TablaIngresos[[#This Row],[% de Impuesto]]</f>
        <v>0</v>
      </c>
      <c r="K37" s="22">
        <f>TablaIngresos[[#This Row],[Ingreso]]-TablaIngresos[[#This Row],[Total Impuesto]]</f>
        <v>164353</v>
      </c>
    </row>
    <row r="38" spans="2:11" s="9" customFormat="1" ht="20.100000000000001" customHeight="1" x14ac:dyDescent="0.25">
      <c r="B38" s="140">
        <v>45632</v>
      </c>
      <c r="C38" s="128" t="str">
        <f>IF(Ingresos!$B38="","",TEXT(Ingresos!$B38,"MMMM" ))</f>
        <v>diciembre</v>
      </c>
      <c r="D38" s="16"/>
      <c r="E38" s="17"/>
      <c r="F38" s="16"/>
      <c r="G38" s="18">
        <v>0</v>
      </c>
      <c r="H38" s="16"/>
      <c r="I38" s="19">
        <f>IF(TablaIngresos[[#This Row],[Impuesto]]="Si",Configuración!$B$20,0)</f>
        <v>0</v>
      </c>
      <c r="J38" s="22">
        <f>TablaIngresos[[#This Row],[Ingreso]]*TablaIngresos[[#This Row],[% de Impuesto]]</f>
        <v>0</v>
      </c>
      <c r="K38" s="22">
        <f>TablaIngresos[[#This Row],[Ingreso]]-TablaIngresos[[#This Row],[Total Impuesto]]</f>
        <v>0</v>
      </c>
    </row>
    <row r="39" spans="2:11" s="9" customFormat="1" ht="20.100000000000001" customHeight="1" x14ac:dyDescent="0.25">
      <c r="B39" s="140">
        <v>45632</v>
      </c>
      <c r="C39" s="128" t="str">
        <f>IF(Ingresos!$B39="","",TEXT(Ingresos!$B39,"MMMM" ))</f>
        <v>diciembre</v>
      </c>
      <c r="D39" s="16" t="s">
        <v>126</v>
      </c>
      <c r="E39" s="17"/>
      <c r="F39" s="16" t="s">
        <v>12</v>
      </c>
      <c r="G39" s="18">
        <v>720493.2</v>
      </c>
      <c r="H39" s="16"/>
      <c r="I39" s="19">
        <f>IF(TablaIngresos[[#This Row],[Impuesto]]="Si",Configuración!$B$20,0)</f>
        <v>0</v>
      </c>
      <c r="J39" s="22">
        <f>TablaIngresos[[#This Row],[Ingreso]]*TablaIngresos[[#This Row],[% de Impuesto]]</f>
        <v>0</v>
      </c>
      <c r="K39" s="22">
        <f>TablaIngresos[[#This Row],[Ingreso]]-TablaIngresos[[#This Row],[Total Impuesto]]</f>
        <v>720493.2</v>
      </c>
    </row>
    <row r="40" spans="2:11" s="9" customFormat="1" ht="20.100000000000001" customHeight="1" x14ac:dyDescent="0.25">
      <c r="B40" s="140">
        <v>45632</v>
      </c>
      <c r="C40" s="128" t="str">
        <f>IF(Ingresos!$B40="","",TEXT(Ingresos!$B40,"MMMM" ))</f>
        <v>diciembre</v>
      </c>
      <c r="D40" s="16" t="s">
        <v>126</v>
      </c>
      <c r="E40" s="17"/>
      <c r="F40" s="16" t="s">
        <v>123</v>
      </c>
      <c r="G40" s="18">
        <v>885349.06</v>
      </c>
      <c r="H40" s="16"/>
      <c r="I40" s="19">
        <f>IF(TablaIngresos[[#This Row],[Impuesto]]="Si",Configuración!$B$20,0)</f>
        <v>0</v>
      </c>
      <c r="J40" s="22">
        <f>TablaIngresos[[#This Row],[Ingreso]]*TablaIngresos[[#This Row],[% de Impuesto]]</f>
        <v>0</v>
      </c>
      <c r="K40" s="22">
        <f>TablaIngresos[[#This Row],[Ingreso]]-TablaIngresos[[#This Row],[Total Impuesto]]</f>
        <v>885349.06</v>
      </c>
    </row>
    <row r="41" spans="2:11" s="9" customFormat="1" ht="20.100000000000001" customHeight="1" x14ac:dyDescent="0.25">
      <c r="B41" s="140">
        <v>45632</v>
      </c>
      <c r="C41" s="128" t="str">
        <f>IF(Ingresos!$B41="","",TEXT(Ingresos!$B41,"MMMM" ))</f>
        <v>diciembre</v>
      </c>
      <c r="D41" s="16" t="s">
        <v>127</v>
      </c>
      <c r="E41" s="17"/>
      <c r="F41" s="16" t="s">
        <v>12</v>
      </c>
      <c r="G41" s="18">
        <v>2386191.5499999998</v>
      </c>
      <c r="H41" s="16"/>
      <c r="I41" s="19">
        <f>IF(TablaIngresos[[#This Row],[Impuesto]]="Si",Configuración!$B$20,0)</f>
        <v>0</v>
      </c>
      <c r="J41" s="22">
        <f>TablaIngresos[[#This Row],[Ingreso]]*TablaIngresos[[#This Row],[% de Impuesto]]</f>
        <v>0</v>
      </c>
      <c r="K41" s="22">
        <f>TablaIngresos[[#This Row],[Ingreso]]-TablaIngresos[[#This Row],[Total Impuesto]]</f>
        <v>2386191.5499999998</v>
      </c>
    </row>
    <row r="42" spans="2:11" s="9" customFormat="1" ht="20.100000000000001" customHeight="1" x14ac:dyDescent="0.25">
      <c r="B42" s="140">
        <v>45632</v>
      </c>
      <c r="C42" s="128" t="str">
        <f>IF(Ingresos!$B42="","",TEXT(Ingresos!$B42,"MMMM" ))</f>
        <v>diciembre</v>
      </c>
      <c r="D42" s="16" t="s">
        <v>127</v>
      </c>
      <c r="E42" s="17"/>
      <c r="F42" s="16" t="s">
        <v>123</v>
      </c>
      <c r="G42" s="18">
        <v>2561191.9900000002</v>
      </c>
      <c r="H42" s="16"/>
      <c r="I42" s="19">
        <f>IF(TablaIngresos[[#This Row],[Impuesto]]="Si",Configuración!$B$20,0)</f>
        <v>0</v>
      </c>
      <c r="J42" s="22">
        <f>TablaIngresos[[#This Row],[Ingreso]]*TablaIngresos[[#This Row],[% de Impuesto]]</f>
        <v>0</v>
      </c>
      <c r="K42" s="22">
        <f>TablaIngresos[[#This Row],[Ingreso]]-TablaIngresos[[#This Row],[Total Impuesto]]</f>
        <v>2561191.9900000002</v>
      </c>
    </row>
    <row r="43" spans="2:11" s="9" customFormat="1" ht="20.100000000000001" customHeight="1" x14ac:dyDescent="0.25">
      <c r="B43" s="140">
        <v>45633</v>
      </c>
      <c r="C43" s="128" t="str">
        <f>IF(Ingresos!$B43="","",TEXT(Ingresos!$B43,"MMMM" ))</f>
        <v>diciembre</v>
      </c>
      <c r="D43" s="16" t="s">
        <v>126</v>
      </c>
      <c r="E43" s="17"/>
      <c r="F43" s="16" t="s">
        <v>12</v>
      </c>
      <c r="G43" s="18">
        <v>349341.94</v>
      </c>
      <c r="H43" s="16"/>
      <c r="I43" s="19">
        <f>IF(TablaIngresos[[#This Row],[Impuesto]]="Si",Configuración!$B$20,0)</f>
        <v>0</v>
      </c>
      <c r="J43" s="22">
        <f>TablaIngresos[[#This Row],[Ingreso]]*TablaIngresos[[#This Row],[% de Impuesto]]</f>
        <v>0</v>
      </c>
      <c r="K43" s="22">
        <f>TablaIngresos[[#This Row],[Ingreso]]-TablaIngresos[[#This Row],[Total Impuesto]]</f>
        <v>349341.94</v>
      </c>
    </row>
    <row r="44" spans="2:11" s="9" customFormat="1" ht="20.100000000000001" customHeight="1" x14ac:dyDescent="0.25">
      <c r="B44" s="140">
        <v>45633</v>
      </c>
      <c r="C44" s="128" t="str">
        <f>IF(Ingresos!$B44="","",TEXT(Ingresos!$B44,"MMMM" ))</f>
        <v>diciembre</v>
      </c>
      <c r="D44" s="16" t="s">
        <v>126</v>
      </c>
      <c r="E44" s="17"/>
      <c r="F44" s="16" t="s">
        <v>123</v>
      </c>
      <c r="G44" s="18">
        <v>750774.12</v>
      </c>
      <c r="H44" s="16"/>
      <c r="I44" s="19">
        <f>IF(TablaIngresos[[#This Row],[Impuesto]]="Si",Configuración!$B$20,0)</f>
        <v>0</v>
      </c>
      <c r="J44" s="22">
        <f>TablaIngresos[[#This Row],[Ingreso]]*TablaIngresos[[#This Row],[% de Impuesto]]</f>
        <v>0</v>
      </c>
      <c r="K44" s="22">
        <f>TablaIngresos[[#This Row],[Ingreso]]-TablaIngresos[[#This Row],[Total Impuesto]]</f>
        <v>750774.12</v>
      </c>
    </row>
    <row r="45" spans="2:11" s="9" customFormat="1" ht="20.100000000000001" customHeight="1" x14ac:dyDescent="0.25">
      <c r="B45" s="140">
        <v>45633</v>
      </c>
      <c r="C45" s="128" t="str">
        <f>IF(Ingresos!$B45="","",TEXT(Ingresos!$B45,"MMMM" ))</f>
        <v>diciembre</v>
      </c>
      <c r="D45" s="16" t="s">
        <v>127</v>
      </c>
      <c r="E45" s="17"/>
      <c r="F45" s="16" t="s">
        <v>12</v>
      </c>
      <c r="G45" s="18">
        <v>1335990.95</v>
      </c>
      <c r="H45" s="16"/>
      <c r="I45" s="19">
        <f>IF(TablaIngresos[[#This Row],[Impuesto]]="Si",Configuración!$B$20,0)</f>
        <v>0</v>
      </c>
      <c r="J45" s="22">
        <f>TablaIngresos[[#This Row],[Ingreso]]*TablaIngresos[[#This Row],[% de Impuesto]]</f>
        <v>0</v>
      </c>
      <c r="K45" s="22">
        <f>TablaIngresos[[#This Row],[Ingreso]]-TablaIngresos[[#This Row],[Total Impuesto]]</f>
        <v>1335990.95</v>
      </c>
    </row>
    <row r="46" spans="2:11" s="9" customFormat="1" ht="20.100000000000001" customHeight="1" x14ac:dyDescent="0.25">
      <c r="B46" s="140">
        <v>45633</v>
      </c>
      <c r="C46" s="128" t="str">
        <f>IF(Ingresos!$B46="","",TEXT(Ingresos!$B46,"MMMM" ))</f>
        <v>diciembre</v>
      </c>
      <c r="D46" s="16" t="s">
        <v>127</v>
      </c>
      <c r="E46" s="17"/>
      <c r="F46" s="16" t="s">
        <v>123</v>
      </c>
      <c r="G46" s="18">
        <v>3568685.43</v>
      </c>
      <c r="H46" s="16"/>
      <c r="I46" s="19">
        <f>IF(TablaIngresos[[#This Row],[Impuesto]]="Si",Configuración!$B$20,0)</f>
        <v>0</v>
      </c>
      <c r="J46" s="22">
        <f>TablaIngresos[[#This Row],[Ingreso]]*TablaIngresos[[#This Row],[% de Impuesto]]</f>
        <v>0</v>
      </c>
      <c r="K46" s="22">
        <f>TablaIngresos[[#This Row],[Ingreso]]-TablaIngresos[[#This Row],[Total Impuesto]]</f>
        <v>3568685.43</v>
      </c>
    </row>
    <row r="47" spans="2:11" s="9" customFormat="1" ht="20.100000000000001" customHeight="1" x14ac:dyDescent="0.25">
      <c r="B47" s="140">
        <v>45634</v>
      </c>
      <c r="C47" s="128" t="str">
        <f>IF(Ingresos!$B47="","",TEXT(Ingresos!$B47,"MMMM" ))</f>
        <v>diciembre</v>
      </c>
      <c r="D47" s="16" t="s">
        <v>126</v>
      </c>
      <c r="E47" s="17"/>
      <c r="F47" s="16" t="s">
        <v>12</v>
      </c>
      <c r="G47" s="18">
        <v>338360.33</v>
      </c>
      <c r="H47" s="16"/>
      <c r="I47" s="19">
        <f>IF(TablaIngresos[[#This Row],[Impuesto]]="Si",Configuración!$B$20,0)</f>
        <v>0</v>
      </c>
      <c r="J47" s="22">
        <f>TablaIngresos[[#This Row],[Ingreso]]*TablaIngresos[[#This Row],[% de Impuesto]]</f>
        <v>0</v>
      </c>
      <c r="K47" s="22">
        <f>TablaIngresos[[#This Row],[Ingreso]]-TablaIngresos[[#This Row],[Total Impuesto]]</f>
        <v>338360.33</v>
      </c>
    </row>
    <row r="48" spans="2:11" s="9" customFormat="1" ht="20.100000000000001" customHeight="1" x14ac:dyDescent="0.25">
      <c r="B48" s="140">
        <v>45634</v>
      </c>
      <c r="C48" s="128" t="str">
        <f>IF(Ingresos!$B48="","",TEXT(Ingresos!$B48,"MMMM" ))</f>
        <v>diciembre</v>
      </c>
      <c r="D48" s="16" t="s">
        <v>126</v>
      </c>
      <c r="E48" s="17"/>
      <c r="F48" s="16" t="s">
        <v>123</v>
      </c>
      <c r="G48" s="18">
        <v>442291.22</v>
      </c>
      <c r="H48" s="16"/>
      <c r="I48" s="19">
        <f>IF(TablaIngresos[[#This Row],[Impuesto]]="Si",Configuración!$B$20,0)</f>
        <v>0</v>
      </c>
      <c r="J48" s="22">
        <f>TablaIngresos[[#This Row],[Ingreso]]*TablaIngresos[[#This Row],[% de Impuesto]]</f>
        <v>0</v>
      </c>
      <c r="K48" s="22">
        <f>TablaIngresos[[#This Row],[Ingreso]]-TablaIngresos[[#This Row],[Total Impuesto]]</f>
        <v>442291.22</v>
      </c>
    </row>
    <row r="49" spans="2:11" s="9" customFormat="1" ht="20.100000000000001" customHeight="1" x14ac:dyDescent="0.25">
      <c r="B49" s="140">
        <v>45634</v>
      </c>
      <c r="C49" s="128" t="str">
        <f>IF(Ingresos!$B49="","",TEXT(Ingresos!$B49,"MMMM" ))</f>
        <v>diciembre</v>
      </c>
      <c r="D49" s="16" t="s">
        <v>127</v>
      </c>
      <c r="E49" s="17"/>
      <c r="F49" s="16" t="s">
        <v>12</v>
      </c>
      <c r="G49" s="18">
        <v>498995.25</v>
      </c>
      <c r="H49" s="16"/>
      <c r="I49" s="19">
        <f>IF(TablaIngresos[[#This Row],[Impuesto]]="Si",Configuración!$B$20,0)</f>
        <v>0</v>
      </c>
      <c r="J49" s="22">
        <f>TablaIngresos[[#This Row],[Ingreso]]*TablaIngresos[[#This Row],[% de Impuesto]]</f>
        <v>0</v>
      </c>
      <c r="K49" s="22">
        <f>TablaIngresos[[#This Row],[Ingreso]]-TablaIngresos[[#This Row],[Total Impuesto]]</f>
        <v>498995.25</v>
      </c>
    </row>
    <row r="50" spans="2:11" s="9" customFormat="1" ht="20.100000000000001" customHeight="1" x14ac:dyDescent="0.25">
      <c r="B50" s="140">
        <v>45634</v>
      </c>
      <c r="C50" s="128" t="str">
        <f>IF(Ingresos!$B50="","",TEXT(Ingresos!$B50,"MMMM" ))</f>
        <v>diciembre</v>
      </c>
      <c r="D50" s="16" t="s">
        <v>127</v>
      </c>
      <c r="E50" s="17"/>
      <c r="F50" s="16" t="s">
        <v>123</v>
      </c>
      <c r="G50" s="18">
        <v>1875510.36</v>
      </c>
      <c r="H50" s="16"/>
      <c r="I50" s="19">
        <f>IF(TablaIngresos[[#This Row],[Impuesto]]="Si",Configuración!$B$20,0)</f>
        <v>0</v>
      </c>
      <c r="J50" s="22">
        <f>TablaIngresos[[#This Row],[Ingreso]]*TablaIngresos[[#This Row],[% de Impuesto]]</f>
        <v>0</v>
      </c>
      <c r="K50" s="22">
        <f>TablaIngresos[[#This Row],[Ingreso]]-TablaIngresos[[#This Row],[Total Impuesto]]</f>
        <v>1875510.36</v>
      </c>
    </row>
    <row r="51" spans="2:11" s="9" customFormat="1" ht="20.100000000000001" customHeight="1" x14ac:dyDescent="0.25">
      <c r="B51" s="140">
        <v>45635</v>
      </c>
      <c r="C51" s="128" t="str">
        <f>IF(Ingresos!$B51="","",TEXT(Ingresos!$B51,"MMMM" ))</f>
        <v>diciembre</v>
      </c>
      <c r="D51" s="16" t="s">
        <v>131</v>
      </c>
      <c r="E51" s="17" t="s">
        <v>246</v>
      </c>
      <c r="F51" s="16" t="s">
        <v>118</v>
      </c>
      <c r="G51" s="18">
        <v>0</v>
      </c>
      <c r="H51" s="16"/>
      <c r="I51" s="19">
        <f>IF(TablaIngresos[[#This Row],[Impuesto]]="Si",Configuración!$B$20,0)</f>
        <v>0</v>
      </c>
      <c r="J51" s="22">
        <f>TablaIngresos[[#This Row],[Ingreso]]*TablaIngresos[[#This Row],[% de Impuesto]]</f>
        <v>0</v>
      </c>
      <c r="K51" s="22">
        <f>TablaIngresos[[#This Row],[Ingreso]]-TablaIngresos[[#This Row],[Total Impuesto]]</f>
        <v>0</v>
      </c>
    </row>
    <row r="52" spans="2:11" s="9" customFormat="1" ht="20.100000000000001" customHeight="1" x14ac:dyDescent="0.25">
      <c r="B52" s="140">
        <v>45635</v>
      </c>
      <c r="C52" s="128" t="str">
        <f>IF(Ingresos!$B52="","",TEXT(Ingresos!$B52,"MMMM" ))</f>
        <v>diciembre</v>
      </c>
      <c r="D52" s="16" t="s">
        <v>126</v>
      </c>
      <c r="E52" s="17"/>
      <c r="F52" s="16" t="s">
        <v>12</v>
      </c>
      <c r="G52" s="18">
        <v>361336.87</v>
      </c>
      <c r="H52" s="16"/>
      <c r="I52" s="19">
        <f>IF(TablaIngresos[[#This Row],[Impuesto]]="Si",Configuración!$B$20,0)</f>
        <v>0</v>
      </c>
      <c r="J52" s="22">
        <f>TablaIngresos[[#This Row],[Ingreso]]*TablaIngresos[[#This Row],[% de Impuesto]]</f>
        <v>0</v>
      </c>
      <c r="K52" s="22">
        <f>TablaIngresos[[#This Row],[Ingreso]]-TablaIngresos[[#This Row],[Total Impuesto]]</f>
        <v>361336.87</v>
      </c>
    </row>
    <row r="53" spans="2:11" s="9" customFormat="1" ht="20.100000000000001" customHeight="1" x14ac:dyDescent="0.25">
      <c r="B53" s="140">
        <v>45635</v>
      </c>
      <c r="C53" s="128" t="str">
        <f>IF(Ingresos!$B53="","",TEXT(Ingresos!$B53,"MMMM" ))</f>
        <v>diciembre</v>
      </c>
      <c r="D53" s="16" t="s">
        <v>126</v>
      </c>
      <c r="E53" s="17"/>
      <c r="F53" s="16" t="s">
        <v>123</v>
      </c>
      <c r="G53" s="18">
        <v>280724.17</v>
      </c>
      <c r="H53" s="16"/>
      <c r="I53" s="19">
        <f>IF(TablaIngresos[[#This Row],[Impuesto]]="Si",Configuración!$B$20,0)</f>
        <v>0</v>
      </c>
      <c r="J53" s="22">
        <f>TablaIngresos[[#This Row],[Ingreso]]*TablaIngresos[[#This Row],[% de Impuesto]]</f>
        <v>0</v>
      </c>
      <c r="K53" s="22">
        <f>TablaIngresos[[#This Row],[Ingreso]]-TablaIngresos[[#This Row],[Total Impuesto]]</f>
        <v>280724.17</v>
      </c>
    </row>
    <row r="54" spans="2:11" s="9" customFormat="1" ht="20.100000000000001" customHeight="1" x14ac:dyDescent="0.25">
      <c r="B54" s="140">
        <v>45635</v>
      </c>
      <c r="C54" s="128" t="str">
        <f>IF(Ingresos!$B54="","",TEXT(Ingresos!$B54,"MMMM" ))</f>
        <v>diciembre</v>
      </c>
      <c r="D54" s="16" t="s">
        <v>127</v>
      </c>
      <c r="E54" s="17"/>
      <c r="F54" s="16" t="s">
        <v>12</v>
      </c>
      <c r="G54" s="18">
        <v>724315.34</v>
      </c>
      <c r="H54" s="16"/>
      <c r="I54" s="19">
        <f>IF(TablaIngresos[[#This Row],[Impuesto]]="Si",Configuración!$B$20,0)</f>
        <v>0</v>
      </c>
      <c r="J54" s="22">
        <f>TablaIngresos[[#This Row],[Ingreso]]*TablaIngresos[[#This Row],[% de Impuesto]]</f>
        <v>0</v>
      </c>
      <c r="K54" s="22">
        <f>TablaIngresos[[#This Row],[Ingreso]]-TablaIngresos[[#This Row],[Total Impuesto]]</f>
        <v>724315.34</v>
      </c>
    </row>
    <row r="55" spans="2:11" s="9" customFormat="1" ht="20.100000000000001" customHeight="1" x14ac:dyDescent="0.25">
      <c r="B55" s="140">
        <v>45635</v>
      </c>
      <c r="C55" s="128" t="str">
        <f>IF(Ingresos!$B55="","",TEXT(Ingresos!$B55,"MMMM" ))</f>
        <v>diciembre</v>
      </c>
      <c r="D55" s="16" t="s">
        <v>127</v>
      </c>
      <c r="E55" s="17"/>
      <c r="F55" s="16" t="s">
        <v>123</v>
      </c>
      <c r="G55" s="18">
        <v>1321764.82</v>
      </c>
      <c r="H55" s="16"/>
      <c r="I55" s="19">
        <f>IF(TablaIngresos[[#This Row],[Impuesto]]="Si",Configuración!$B$20,0)</f>
        <v>0</v>
      </c>
      <c r="J55" s="22">
        <f>TablaIngresos[[#This Row],[Ingreso]]*TablaIngresos[[#This Row],[% de Impuesto]]</f>
        <v>0</v>
      </c>
      <c r="K55" s="22">
        <f>TablaIngresos[[#This Row],[Ingreso]]-TablaIngresos[[#This Row],[Total Impuesto]]</f>
        <v>1321764.82</v>
      </c>
    </row>
    <row r="56" spans="2:11" s="9" customFormat="1" ht="20.100000000000001" customHeight="1" x14ac:dyDescent="0.25">
      <c r="B56" s="140">
        <v>45636</v>
      </c>
      <c r="C56" s="128" t="str">
        <f>IF(Ingresos!$B56="","",TEXT(Ingresos!$B56,"MMMM" ))</f>
        <v>diciembre</v>
      </c>
      <c r="D56" s="16" t="s">
        <v>126</v>
      </c>
      <c r="E56" s="17"/>
      <c r="F56" s="16" t="s">
        <v>12</v>
      </c>
      <c r="G56" s="18">
        <v>580397.56000000006</v>
      </c>
      <c r="H56" s="16"/>
      <c r="I56" s="19">
        <f>IF(TablaIngresos[[#This Row],[Impuesto]]="Si",Configuración!$B$20,0)</f>
        <v>0</v>
      </c>
      <c r="J56" s="22">
        <f>TablaIngresos[[#This Row],[Ingreso]]*TablaIngresos[[#This Row],[% de Impuesto]]</f>
        <v>0</v>
      </c>
      <c r="K56" s="22">
        <f>TablaIngresos[[#This Row],[Ingreso]]-TablaIngresos[[#This Row],[Total Impuesto]]</f>
        <v>580397.56000000006</v>
      </c>
    </row>
    <row r="57" spans="2:11" s="9" customFormat="1" ht="20.100000000000001" customHeight="1" x14ac:dyDescent="0.25">
      <c r="B57" s="140">
        <v>45636</v>
      </c>
      <c r="C57" s="128" t="str">
        <f>IF(Ingresos!$B57="","",TEXT(Ingresos!$B57,"MMMM" ))</f>
        <v>diciembre</v>
      </c>
      <c r="D57" s="16" t="s">
        <v>126</v>
      </c>
      <c r="E57" s="17"/>
      <c r="F57" s="16" t="s">
        <v>123</v>
      </c>
      <c r="G57" s="18">
        <v>838110.73</v>
      </c>
      <c r="H57" s="16"/>
      <c r="I57" s="19">
        <f>IF(TablaIngresos[[#This Row],[Impuesto]]="Si",Configuración!$B$20,0)</f>
        <v>0</v>
      </c>
      <c r="J57" s="22">
        <f>TablaIngresos[[#This Row],[Ingreso]]*TablaIngresos[[#This Row],[% de Impuesto]]</f>
        <v>0</v>
      </c>
      <c r="K57" s="22">
        <f>TablaIngresos[[#This Row],[Ingreso]]-TablaIngresos[[#This Row],[Total Impuesto]]</f>
        <v>838110.73</v>
      </c>
    </row>
    <row r="58" spans="2:11" s="9" customFormat="1" ht="20.100000000000001" customHeight="1" x14ac:dyDescent="0.25">
      <c r="B58" s="140">
        <v>45636</v>
      </c>
      <c r="C58" s="128" t="str">
        <f>IF(Ingresos!$B58="","",TEXT(Ingresos!$B58,"MMMM" ))</f>
        <v>diciembre</v>
      </c>
      <c r="D58" s="16" t="s">
        <v>127</v>
      </c>
      <c r="E58" s="17"/>
      <c r="F58" s="16" t="s">
        <v>12</v>
      </c>
      <c r="G58" s="18">
        <v>702635.88</v>
      </c>
      <c r="H58" s="16"/>
      <c r="I58" s="19">
        <f>IF(TablaIngresos[[#This Row],[Impuesto]]="Si",Configuración!$B$20,0)</f>
        <v>0</v>
      </c>
      <c r="J58" s="22">
        <f>TablaIngresos[[#This Row],[Ingreso]]*TablaIngresos[[#This Row],[% de Impuesto]]</f>
        <v>0</v>
      </c>
      <c r="K58" s="22">
        <f>TablaIngresos[[#This Row],[Ingreso]]-TablaIngresos[[#This Row],[Total Impuesto]]</f>
        <v>702635.88</v>
      </c>
    </row>
    <row r="59" spans="2:11" s="9" customFormat="1" ht="20.100000000000001" customHeight="1" x14ac:dyDescent="0.25">
      <c r="B59" s="140">
        <v>45636</v>
      </c>
      <c r="C59" s="128" t="str">
        <f>IF(Ingresos!$B59="","",TEXT(Ingresos!$B59,"MMMM" ))</f>
        <v>diciembre</v>
      </c>
      <c r="D59" s="16" t="s">
        <v>127</v>
      </c>
      <c r="E59" s="17"/>
      <c r="F59" s="16" t="s">
        <v>123</v>
      </c>
      <c r="G59" s="18">
        <v>1384083.32</v>
      </c>
      <c r="H59" s="16"/>
      <c r="I59" s="19">
        <f>IF(TablaIngresos[[#This Row],[Impuesto]]="Si",Configuración!$B$20,0)</f>
        <v>0</v>
      </c>
      <c r="J59" s="22">
        <f>TablaIngresos[[#This Row],[Ingreso]]*TablaIngresos[[#This Row],[% de Impuesto]]</f>
        <v>0</v>
      </c>
      <c r="K59" s="22">
        <f>TablaIngresos[[#This Row],[Ingreso]]-TablaIngresos[[#This Row],[Total Impuesto]]</f>
        <v>1384083.32</v>
      </c>
    </row>
    <row r="60" spans="2:11" s="9" customFormat="1" ht="20.100000000000001" customHeight="1" x14ac:dyDescent="0.25">
      <c r="B60" s="140">
        <v>45637</v>
      </c>
      <c r="C60" s="128" t="str">
        <f>IF(Ingresos!$B60="","",TEXT(Ingresos!$B60,"MMMM" ))</f>
        <v>diciembre</v>
      </c>
      <c r="D60" s="16" t="s">
        <v>126</v>
      </c>
      <c r="E60" s="17"/>
      <c r="F60" s="16" t="s">
        <v>12</v>
      </c>
      <c r="G60" s="18">
        <v>278237.45</v>
      </c>
      <c r="H60" s="16"/>
      <c r="I60" s="19">
        <f>IF(TablaIngresos[[#This Row],[Impuesto]]="Si",Configuración!$B$20,0)</f>
        <v>0</v>
      </c>
      <c r="J60" s="22">
        <f>TablaIngresos[[#This Row],[Ingreso]]*TablaIngresos[[#This Row],[% de Impuesto]]</f>
        <v>0</v>
      </c>
      <c r="K60" s="22">
        <f>TablaIngresos[[#This Row],[Ingreso]]-TablaIngresos[[#This Row],[Total Impuesto]]</f>
        <v>278237.45</v>
      </c>
    </row>
    <row r="61" spans="2:11" s="9" customFormat="1" ht="20.100000000000001" customHeight="1" x14ac:dyDescent="0.25">
      <c r="B61" s="140">
        <v>45637</v>
      </c>
      <c r="C61" s="128" t="str">
        <f>IF(Ingresos!$B61="","",TEXT(Ingresos!$B61,"MMMM" ))</f>
        <v>diciembre</v>
      </c>
      <c r="D61" s="16" t="s">
        <v>126</v>
      </c>
      <c r="E61" s="17"/>
      <c r="F61" s="16" t="s">
        <v>123</v>
      </c>
      <c r="G61" s="18">
        <v>454704.55</v>
      </c>
      <c r="H61" s="16"/>
      <c r="I61" s="19">
        <f>IF(TablaIngresos[[#This Row],[Impuesto]]="Si",Configuración!$B$20,0)</f>
        <v>0</v>
      </c>
      <c r="J61" s="22">
        <f>TablaIngresos[[#This Row],[Ingreso]]*TablaIngresos[[#This Row],[% de Impuesto]]</f>
        <v>0</v>
      </c>
      <c r="K61" s="22">
        <f>TablaIngresos[[#This Row],[Ingreso]]-TablaIngresos[[#This Row],[Total Impuesto]]</f>
        <v>454704.55</v>
      </c>
    </row>
    <row r="62" spans="2:11" s="9" customFormat="1" ht="20.100000000000001" customHeight="1" x14ac:dyDescent="0.25">
      <c r="B62" s="140">
        <v>45637</v>
      </c>
      <c r="C62" s="128" t="str">
        <f>IF(Ingresos!$B62="","",TEXT(Ingresos!$B62,"MMMM" ))</f>
        <v>diciembre</v>
      </c>
      <c r="D62" s="16" t="s">
        <v>127</v>
      </c>
      <c r="E62" s="17"/>
      <c r="F62" s="16" t="s">
        <v>12</v>
      </c>
      <c r="G62" s="18">
        <v>1297617.01</v>
      </c>
      <c r="H62" s="16"/>
      <c r="I62" s="19">
        <f>IF(TablaIngresos[[#This Row],[Impuesto]]="Si",Configuración!$B$20,0)</f>
        <v>0</v>
      </c>
      <c r="J62" s="22">
        <f>TablaIngresos[[#This Row],[Ingreso]]*TablaIngresos[[#This Row],[% de Impuesto]]</f>
        <v>0</v>
      </c>
      <c r="K62" s="22">
        <f>TablaIngresos[[#This Row],[Ingreso]]-TablaIngresos[[#This Row],[Total Impuesto]]</f>
        <v>1297617.01</v>
      </c>
    </row>
    <row r="63" spans="2:11" s="9" customFormat="1" ht="20.100000000000001" customHeight="1" x14ac:dyDescent="0.25">
      <c r="B63" s="140">
        <v>45637</v>
      </c>
      <c r="C63" s="128" t="str">
        <f>IF(Ingresos!$B63="","",TEXT(Ingresos!$B63,"MMMM" ))</f>
        <v>diciembre</v>
      </c>
      <c r="D63" s="16" t="s">
        <v>127</v>
      </c>
      <c r="E63" s="17"/>
      <c r="F63" s="16" t="s">
        <v>123</v>
      </c>
      <c r="G63" s="18">
        <v>1936509.79</v>
      </c>
      <c r="H63" s="16"/>
      <c r="I63" s="19">
        <f>IF(TablaIngresos[[#This Row],[Impuesto]]="Si",Configuración!$B$20,0)</f>
        <v>0</v>
      </c>
      <c r="J63" s="22">
        <f>TablaIngresos[[#This Row],[Ingreso]]*TablaIngresos[[#This Row],[% de Impuesto]]</f>
        <v>0</v>
      </c>
      <c r="K63" s="22">
        <f>TablaIngresos[[#This Row],[Ingreso]]-TablaIngresos[[#This Row],[Total Impuesto]]</f>
        <v>1936509.79</v>
      </c>
    </row>
    <row r="64" spans="2:11" s="9" customFormat="1" ht="20.100000000000001" customHeight="1" x14ac:dyDescent="0.25">
      <c r="B64" s="140">
        <v>45630</v>
      </c>
      <c r="C64" s="128" t="str">
        <f>IF(Ingresos!$B64="","",TEXT(Ingresos!$B64,"MMMM" ))</f>
        <v>diciembre</v>
      </c>
      <c r="D64" s="16" t="s">
        <v>130</v>
      </c>
      <c r="E64" s="17"/>
      <c r="F64" s="16" t="s">
        <v>12</v>
      </c>
      <c r="G64" s="18">
        <v>470239.32</v>
      </c>
      <c r="H64" s="16"/>
      <c r="I64" s="19">
        <f>IF(TablaIngresos[[#This Row],[Impuesto]]="Si",Configuración!$B$20,0)</f>
        <v>0</v>
      </c>
      <c r="J64" s="22">
        <f>TablaIngresos[[#This Row],[Ingreso]]*TablaIngresos[[#This Row],[% de Impuesto]]</f>
        <v>0</v>
      </c>
      <c r="K64" s="22">
        <f>TablaIngresos[[#This Row],[Ingreso]]-TablaIngresos[[#This Row],[Total Impuesto]]</f>
        <v>470239.32</v>
      </c>
    </row>
    <row r="65" spans="2:11" s="9" customFormat="1" ht="20.100000000000001" customHeight="1" x14ac:dyDescent="0.25">
      <c r="B65" s="140">
        <v>45630</v>
      </c>
      <c r="C65" s="128" t="str">
        <f>IF(Ingresos!$B65="","",TEXT(Ingresos!$B65,"MMMM" ))</f>
        <v>diciembre</v>
      </c>
      <c r="D65" s="16" t="s">
        <v>130</v>
      </c>
      <c r="E65" s="17"/>
      <c r="F65" s="16" t="s">
        <v>123</v>
      </c>
      <c r="G65" s="18">
        <v>2405056.4700000002</v>
      </c>
      <c r="H65" s="16"/>
      <c r="I65" s="19">
        <f>IF(TablaIngresos[[#This Row],[Impuesto]]="Si",Configuración!$B$20,0)</f>
        <v>0</v>
      </c>
      <c r="J65" s="22">
        <f>TablaIngresos[[#This Row],[Ingreso]]*TablaIngresos[[#This Row],[% de Impuesto]]</f>
        <v>0</v>
      </c>
      <c r="K65" s="22">
        <f>TablaIngresos[[#This Row],[Ingreso]]-TablaIngresos[[#This Row],[Total Impuesto]]</f>
        <v>2405056.4700000002</v>
      </c>
    </row>
    <row r="66" spans="2:11" s="9" customFormat="1" ht="20.100000000000001" customHeight="1" x14ac:dyDescent="0.25">
      <c r="B66" s="140">
        <v>45631</v>
      </c>
      <c r="C66" s="128" t="str">
        <f>IF(Ingresos!$B66="","",TEXT(Ingresos!$B66,"MMMM" ))</f>
        <v>diciembre</v>
      </c>
      <c r="D66" s="16" t="s">
        <v>130</v>
      </c>
      <c r="E66" s="17"/>
      <c r="F66" s="16" t="s">
        <v>12</v>
      </c>
      <c r="G66" s="18">
        <v>968390.98</v>
      </c>
      <c r="H66" s="16"/>
      <c r="I66" s="19">
        <f>IF(TablaIngresos[[#This Row],[Impuesto]]="Si",Configuración!$B$20,0)</f>
        <v>0</v>
      </c>
      <c r="J66" s="22">
        <f>TablaIngresos[[#This Row],[Ingreso]]*TablaIngresos[[#This Row],[% de Impuesto]]</f>
        <v>0</v>
      </c>
      <c r="K66" s="22">
        <f>TablaIngresos[[#This Row],[Ingreso]]-TablaIngresos[[#This Row],[Total Impuesto]]</f>
        <v>968390.98</v>
      </c>
    </row>
    <row r="67" spans="2:11" s="9" customFormat="1" ht="20.100000000000001" customHeight="1" x14ac:dyDescent="0.25">
      <c r="B67" s="140">
        <v>45631</v>
      </c>
      <c r="C67" s="128" t="str">
        <f>IF(Ingresos!$B67="","",TEXT(Ingresos!$B67,"MMMM" ))</f>
        <v>diciembre</v>
      </c>
      <c r="D67" s="16" t="s">
        <v>130</v>
      </c>
      <c r="E67" s="17"/>
      <c r="F67" s="16" t="s">
        <v>123</v>
      </c>
      <c r="G67" s="18">
        <v>2392968.59</v>
      </c>
      <c r="H67" s="16"/>
      <c r="I67" s="19">
        <f>IF(TablaIngresos[[#This Row],[Impuesto]]="Si",Configuración!$B$20,0)</f>
        <v>0</v>
      </c>
      <c r="J67" s="22">
        <f>TablaIngresos[[#This Row],[Ingreso]]*TablaIngresos[[#This Row],[% de Impuesto]]</f>
        <v>0</v>
      </c>
      <c r="K67" s="22">
        <f>TablaIngresos[[#This Row],[Ingreso]]-TablaIngresos[[#This Row],[Total Impuesto]]</f>
        <v>2392968.59</v>
      </c>
    </row>
    <row r="68" spans="2:11" s="9" customFormat="1" ht="20.100000000000001" customHeight="1" x14ac:dyDescent="0.25">
      <c r="B68" s="140">
        <v>45632</v>
      </c>
      <c r="C68" s="128" t="str">
        <f>IF(Ingresos!$B68="","",TEXT(Ingresos!$B68,"MMMM" ))</f>
        <v>diciembre</v>
      </c>
      <c r="D68" s="16" t="s">
        <v>130</v>
      </c>
      <c r="E68" s="17"/>
      <c r="F68" s="16" t="s">
        <v>12</v>
      </c>
      <c r="G68" s="18">
        <v>1157148.43</v>
      </c>
      <c r="H68" s="16"/>
      <c r="I68" s="19">
        <f>IF(TablaIngresos[[#This Row],[Impuesto]]="Si",Configuración!$B$20,0)</f>
        <v>0</v>
      </c>
      <c r="J68" s="22">
        <f>TablaIngresos[[#This Row],[Ingreso]]*TablaIngresos[[#This Row],[% de Impuesto]]</f>
        <v>0</v>
      </c>
      <c r="K68" s="22">
        <f>TablaIngresos[[#This Row],[Ingreso]]-TablaIngresos[[#This Row],[Total Impuesto]]</f>
        <v>1157148.43</v>
      </c>
    </row>
    <row r="69" spans="2:11" s="9" customFormat="1" ht="20.100000000000001" customHeight="1" x14ac:dyDescent="0.25">
      <c r="B69" s="140">
        <v>45632</v>
      </c>
      <c r="C69" s="128" t="str">
        <f>IF(Ingresos!$B69="","",TEXT(Ingresos!$B69,"MMMM" ))</f>
        <v>diciembre</v>
      </c>
      <c r="D69" s="16" t="s">
        <v>130</v>
      </c>
      <c r="E69" s="17"/>
      <c r="F69" s="16" t="s">
        <v>123</v>
      </c>
      <c r="G69" s="18">
        <v>1473076.55</v>
      </c>
      <c r="H69" s="16"/>
      <c r="I69" s="19">
        <f>IF(TablaIngresos[[#This Row],[Impuesto]]="Si",Configuración!$B$20,0)</f>
        <v>0</v>
      </c>
      <c r="J69" s="22">
        <f>TablaIngresos[[#This Row],[Ingreso]]*TablaIngresos[[#This Row],[% de Impuesto]]</f>
        <v>0</v>
      </c>
      <c r="K69" s="22">
        <f>TablaIngresos[[#This Row],[Ingreso]]-TablaIngresos[[#This Row],[Total Impuesto]]</f>
        <v>1473076.55</v>
      </c>
    </row>
    <row r="70" spans="2:11" s="9" customFormat="1" ht="20.100000000000001" customHeight="1" x14ac:dyDescent="0.25">
      <c r="B70" s="140">
        <v>45633</v>
      </c>
      <c r="C70" s="128" t="str">
        <f>IF(Ingresos!$B70="","",TEXT(Ingresos!$B70,"MMMM" ))</f>
        <v>diciembre</v>
      </c>
      <c r="D70" s="16" t="s">
        <v>130</v>
      </c>
      <c r="E70" s="17"/>
      <c r="F70" s="16" t="s">
        <v>12</v>
      </c>
      <c r="G70" s="18">
        <v>1201150.75</v>
      </c>
      <c r="H70" s="16"/>
      <c r="I70" s="19">
        <f>IF(TablaIngresos[[#This Row],[Impuesto]]="Si",Configuración!$B$20,0)</f>
        <v>0</v>
      </c>
      <c r="J70" s="22">
        <f>TablaIngresos[[#This Row],[Ingreso]]*TablaIngresos[[#This Row],[% de Impuesto]]</f>
        <v>0</v>
      </c>
      <c r="K70" s="22">
        <f>TablaIngresos[[#This Row],[Ingreso]]-TablaIngresos[[#This Row],[Total Impuesto]]</f>
        <v>1201150.75</v>
      </c>
    </row>
    <row r="71" spans="2:11" s="9" customFormat="1" ht="20.100000000000001" customHeight="1" x14ac:dyDescent="0.25">
      <c r="B71" s="140">
        <v>45633</v>
      </c>
      <c r="C71" s="128" t="str">
        <f>IF(Ingresos!$B71="","",TEXT(Ingresos!$B71,"MMMM" ))</f>
        <v>diciembre</v>
      </c>
      <c r="D71" s="16" t="s">
        <v>130</v>
      </c>
      <c r="E71" s="17"/>
      <c r="F71" s="16" t="s">
        <v>123</v>
      </c>
      <c r="G71" s="18">
        <v>4886815.0199999996</v>
      </c>
      <c r="H71" s="16"/>
      <c r="I71" s="19">
        <f>IF(TablaIngresos[[#This Row],[Impuesto]]="Si",Configuración!$B$20,0)</f>
        <v>0</v>
      </c>
      <c r="J71" s="22">
        <f>TablaIngresos[[#This Row],[Ingreso]]*TablaIngresos[[#This Row],[% de Impuesto]]</f>
        <v>0</v>
      </c>
      <c r="K71" s="22">
        <f>TablaIngresos[[#This Row],[Ingreso]]-TablaIngresos[[#This Row],[Total Impuesto]]</f>
        <v>4886815.0199999996</v>
      </c>
    </row>
    <row r="72" spans="2:11" s="9" customFormat="1" ht="20.100000000000001" customHeight="1" x14ac:dyDescent="0.25">
      <c r="B72" s="140">
        <v>45634</v>
      </c>
      <c r="C72" s="128" t="str">
        <f>IF(Ingresos!$B72="","",TEXT(Ingresos!$B72,"MMMM" ))</f>
        <v>diciembre</v>
      </c>
      <c r="D72" s="16" t="s">
        <v>130</v>
      </c>
      <c r="E72" s="17"/>
      <c r="F72" s="16" t="s">
        <v>12</v>
      </c>
      <c r="G72" s="18">
        <v>968299.02</v>
      </c>
      <c r="H72" s="16"/>
      <c r="I72" s="19">
        <f>IF(TablaIngresos[[#This Row],[Impuesto]]="Si",Configuración!$B$20,0)</f>
        <v>0</v>
      </c>
      <c r="J72" s="22">
        <f>TablaIngresos[[#This Row],[Ingreso]]*TablaIngresos[[#This Row],[% de Impuesto]]</f>
        <v>0</v>
      </c>
      <c r="K72" s="22">
        <f>TablaIngresos[[#This Row],[Ingreso]]-TablaIngresos[[#This Row],[Total Impuesto]]</f>
        <v>968299.02</v>
      </c>
    </row>
    <row r="73" spans="2:11" s="9" customFormat="1" ht="20.100000000000001" customHeight="1" x14ac:dyDescent="0.25">
      <c r="B73" s="140">
        <v>45634</v>
      </c>
      <c r="C73" s="128" t="str">
        <f>IF(Ingresos!$B73="","",TEXT(Ingresos!$B73,"MMMM" ))</f>
        <v>diciembre</v>
      </c>
      <c r="D73" s="16" t="s">
        <v>130</v>
      </c>
      <c r="E73" s="17"/>
      <c r="F73" s="16" t="s">
        <v>123</v>
      </c>
      <c r="G73" s="18">
        <v>2331333.9500000002</v>
      </c>
      <c r="H73" s="16"/>
      <c r="I73" s="19">
        <f>IF(TablaIngresos[[#This Row],[Impuesto]]="Si",Configuración!$B$20,0)</f>
        <v>0</v>
      </c>
      <c r="J73" s="22">
        <f>TablaIngresos[[#This Row],[Ingreso]]*TablaIngresos[[#This Row],[% de Impuesto]]</f>
        <v>0</v>
      </c>
      <c r="K73" s="22">
        <f>TablaIngresos[[#This Row],[Ingreso]]-TablaIngresos[[#This Row],[Total Impuesto]]</f>
        <v>2331333.9500000002</v>
      </c>
    </row>
    <row r="74" spans="2:11" s="9" customFormat="1" ht="20.100000000000001" customHeight="1" x14ac:dyDescent="0.25">
      <c r="B74" s="140">
        <v>45635</v>
      </c>
      <c r="C74" s="128" t="str">
        <f>IF(Ingresos!$B74="","",TEXT(Ingresos!$B74,"MMMM" ))</f>
        <v>diciembre</v>
      </c>
      <c r="D74" s="16" t="s">
        <v>130</v>
      </c>
      <c r="E74" s="17"/>
      <c r="F74" s="16" t="s">
        <v>12</v>
      </c>
      <c r="G74" s="18">
        <v>514522.64</v>
      </c>
      <c r="H74" s="16"/>
      <c r="I74" s="19">
        <f>IF(TablaIngresos[[#This Row],[Impuesto]]="Si",Configuración!$B$20,0)</f>
        <v>0</v>
      </c>
      <c r="J74" s="22">
        <f>TablaIngresos[[#This Row],[Ingreso]]*TablaIngresos[[#This Row],[% de Impuesto]]</f>
        <v>0</v>
      </c>
      <c r="K74" s="22">
        <f>TablaIngresos[[#This Row],[Ingreso]]-TablaIngresos[[#This Row],[Total Impuesto]]</f>
        <v>514522.64</v>
      </c>
    </row>
    <row r="75" spans="2:11" s="9" customFormat="1" ht="20.100000000000001" customHeight="1" x14ac:dyDescent="0.25">
      <c r="B75" s="140">
        <v>45635</v>
      </c>
      <c r="C75" s="128" t="str">
        <f>IF(Ingresos!$B75="","",TEXT(Ingresos!$B75,"MMMM" ))</f>
        <v>diciembre</v>
      </c>
      <c r="D75" s="16" t="s">
        <v>130</v>
      </c>
      <c r="E75" s="17"/>
      <c r="F75" s="16" t="s">
        <v>123</v>
      </c>
      <c r="G75" s="18">
        <v>991480.27</v>
      </c>
      <c r="H75" s="16"/>
      <c r="I75" s="19">
        <f>IF(TablaIngresos[[#This Row],[Impuesto]]="Si",Configuración!$B$20,0)</f>
        <v>0</v>
      </c>
      <c r="J75" s="22">
        <f>TablaIngresos[[#This Row],[Ingreso]]*TablaIngresos[[#This Row],[% de Impuesto]]</f>
        <v>0</v>
      </c>
      <c r="K75" s="22">
        <f>TablaIngresos[[#This Row],[Ingreso]]-TablaIngresos[[#This Row],[Total Impuesto]]</f>
        <v>991480.27</v>
      </c>
    </row>
    <row r="76" spans="2:11" s="9" customFormat="1" ht="20.100000000000001" customHeight="1" x14ac:dyDescent="0.25">
      <c r="B76" s="140">
        <v>45636</v>
      </c>
      <c r="C76" s="128" t="str">
        <f>IF(Ingresos!$B76="","",TEXT(Ingresos!$B76,"MMMM" ))</f>
        <v>diciembre</v>
      </c>
      <c r="D76" s="16" t="s">
        <v>130</v>
      </c>
      <c r="E76" s="17"/>
      <c r="F76" s="16" t="s">
        <v>12</v>
      </c>
      <c r="G76" s="18">
        <v>438610.08</v>
      </c>
      <c r="H76" s="16"/>
      <c r="I76" s="19">
        <f>IF(TablaIngresos[[#This Row],[Impuesto]]="Si",Configuración!$B$20,0)</f>
        <v>0</v>
      </c>
      <c r="J76" s="22">
        <f>TablaIngresos[[#This Row],[Ingreso]]*TablaIngresos[[#This Row],[% de Impuesto]]</f>
        <v>0</v>
      </c>
      <c r="K76" s="22">
        <f>TablaIngresos[[#This Row],[Ingreso]]-TablaIngresos[[#This Row],[Total Impuesto]]</f>
        <v>438610.08</v>
      </c>
    </row>
    <row r="77" spans="2:11" s="9" customFormat="1" ht="20.100000000000001" customHeight="1" x14ac:dyDescent="0.25">
      <c r="B77" s="140">
        <v>45636</v>
      </c>
      <c r="C77" s="128" t="str">
        <f>IF(Ingresos!$B77="","",TEXT(Ingresos!$B77,"MMMM" ))</f>
        <v>diciembre</v>
      </c>
      <c r="D77" s="16" t="s">
        <v>130</v>
      </c>
      <c r="E77" s="17"/>
      <c r="F77" s="16" t="s">
        <v>123</v>
      </c>
      <c r="G77" s="18">
        <v>1349371.32</v>
      </c>
      <c r="H77" s="16"/>
      <c r="I77" s="19">
        <f>IF(TablaIngresos[[#This Row],[Impuesto]]="Si",Configuración!$B$20,0)</f>
        <v>0</v>
      </c>
      <c r="J77" s="22">
        <f>TablaIngresos[[#This Row],[Ingreso]]*TablaIngresos[[#This Row],[% de Impuesto]]</f>
        <v>0</v>
      </c>
      <c r="K77" s="22">
        <f>TablaIngresos[[#This Row],[Ingreso]]-TablaIngresos[[#This Row],[Total Impuesto]]</f>
        <v>1349371.32</v>
      </c>
    </row>
    <row r="78" spans="2:11" s="9" customFormat="1" ht="20.100000000000001" customHeight="1" x14ac:dyDescent="0.25">
      <c r="B78" s="140">
        <v>45637</v>
      </c>
      <c r="C78" s="128" t="str">
        <f>IF(Ingresos!$B78="","",TEXT(Ingresos!$B78,"MMMM" ))</f>
        <v>diciembre</v>
      </c>
      <c r="D78" s="16" t="s">
        <v>130</v>
      </c>
      <c r="E78" s="17"/>
      <c r="F78" s="16" t="s">
        <v>12</v>
      </c>
      <c r="G78" s="18">
        <v>1347174.65</v>
      </c>
      <c r="H78" s="16"/>
      <c r="I78" s="19">
        <f>IF(TablaIngresos[[#This Row],[Impuesto]]="Si",Configuración!$B$20,0)</f>
        <v>0</v>
      </c>
      <c r="J78" s="22">
        <f>TablaIngresos[[#This Row],[Ingreso]]*TablaIngresos[[#This Row],[% de Impuesto]]</f>
        <v>0</v>
      </c>
      <c r="K78" s="22">
        <f>TablaIngresos[[#This Row],[Ingreso]]-TablaIngresos[[#This Row],[Total Impuesto]]</f>
        <v>1347174.65</v>
      </c>
    </row>
    <row r="79" spans="2:11" s="9" customFormat="1" ht="20.100000000000001" customHeight="1" x14ac:dyDescent="0.25">
      <c r="B79" s="140">
        <v>45637</v>
      </c>
      <c r="C79" s="128" t="str">
        <f>IF(Ingresos!$B79="","",TEXT(Ingresos!$B79,"MMMM" ))</f>
        <v>diciembre</v>
      </c>
      <c r="D79" s="16" t="s">
        <v>130</v>
      </c>
      <c r="E79" s="17"/>
      <c r="F79" s="16" t="s">
        <v>123</v>
      </c>
      <c r="G79" s="18">
        <v>2632953.1800000002</v>
      </c>
      <c r="H79" s="16"/>
      <c r="I79" s="19">
        <f>IF(TablaIngresos[[#This Row],[Impuesto]]="Si",Configuración!$B$20,0)</f>
        <v>0</v>
      </c>
      <c r="J79" s="22">
        <f>TablaIngresos[[#This Row],[Ingreso]]*TablaIngresos[[#This Row],[% de Impuesto]]</f>
        <v>0</v>
      </c>
      <c r="K79" s="22">
        <f>TablaIngresos[[#This Row],[Ingreso]]-TablaIngresos[[#This Row],[Total Impuesto]]</f>
        <v>2632953.1800000002</v>
      </c>
    </row>
    <row r="80" spans="2:11" s="9" customFormat="1" ht="20.100000000000001" customHeight="1" x14ac:dyDescent="0.25">
      <c r="B80" s="140">
        <v>45638</v>
      </c>
      <c r="C80" s="128" t="str">
        <f>IF(Ingresos!$B80="","",TEXT(Ingresos!$B80,"MMMM" ))</f>
        <v>diciembre</v>
      </c>
      <c r="D80" s="16" t="s">
        <v>126</v>
      </c>
      <c r="E80" s="17"/>
      <c r="F80" s="16" t="s">
        <v>12</v>
      </c>
      <c r="G80" s="18">
        <v>882587.32</v>
      </c>
      <c r="H80" s="16"/>
      <c r="I80" s="19">
        <f>IF(TablaIngresos[[#This Row],[Impuesto]]="Si",Configuración!$B$20,0)</f>
        <v>0</v>
      </c>
      <c r="J80" s="22">
        <f>TablaIngresos[[#This Row],[Ingreso]]*TablaIngresos[[#This Row],[% de Impuesto]]</f>
        <v>0</v>
      </c>
      <c r="K80" s="22">
        <f>TablaIngresos[[#This Row],[Ingreso]]-TablaIngresos[[#This Row],[Total Impuesto]]</f>
        <v>882587.32</v>
      </c>
    </row>
    <row r="81" spans="2:11" s="9" customFormat="1" ht="20.100000000000001" customHeight="1" x14ac:dyDescent="0.25">
      <c r="B81" s="140">
        <v>45638</v>
      </c>
      <c r="C81" s="128" t="str">
        <f>IF(Ingresos!$B81="","",TEXT(Ingresos!$B81,"MMMM" ))</f>
        <v>diciembre</v>
      </c>
      <c r="D81" s="16" t="s">
        <v>126</v>
      </c>
      <c r="E81" s="17"/>
      <c r="F81" s="16" t="s">
        <v>123</v>
      </c>
      <c r="G81" s="18">
        <v>1415032.98</v>
      </c>
      <c r="H81" s="16"/>
      <c r="I81" s="19">
        <f>IF(TablaIngresos[[#This Row],[Impuesto]]="Si",Configuración!$B$20,0)</f>
        <v>0</v>
      </c>
      <c r="J81" s="22">
        <f>TablaIngresos[[#This Row],[Ingreso]]*TablaIngresos[[#This Row],[% de Impuesto]]</f>
        <v>0</v>
      </c>
      <c r="K81" s="22">
        <f>TablaIngresos[[#This Row],[Ingreso]]-TablaIngresos[[#This Row],[Total Impuesto]]</f>
        <v>1415032.98</v>
      </c>
    </row>
    <row r="82" spans="2:11" s="9" customFormat="1" ht="20.100000000000001" customHeight="1" x14ac:dyDescent="0.25">
      <c r="B82" s="140">
        <v>45638</v>
      </c>
      <c r="C82" s="128" t="str">
        <f>IF(Ingresos!$B82="","",TEXT(Ingresos!$B82,"MMMM" ))</f>
        <v>diciembre</v>
      </c>
      <c r="D82" s="16" t="s">
        <v>127</v>
      </c>
      <c r="E82" s="17"/>
      <c r="F82" s="16" t="s">
        <v>12</v>
      </c>
      <c r="G82" s="18">
        <v>1155188.58</v>
      </c>
      <c r="H82" s="16"/>
      <c r="I82" s="19">
        <f>IF(TablaIngresos[[#This Row],[Impuesto]]="Si",Configuración!$B$20,0)</f>
        <v>0</v>
      </c>
      <c r="J82" s="22">
        <f>TablaIngresos[[#This Row],[Ingreso]]*TablaIngresos[[#This Row],[% de Impuesto]]</f>
        <v>0</v>
      </c>
      <c r="K82" s="22">
        <f>TablaIngresos[[#This Row],[Ingreso]]-TablaIngresos[[#This Row],[Total Impuesto]]</f>
        <v>1155188.58</v>
      </c>
    </row>
    <row r="83" spans="2:11" s="9" customFormat="1" ht="20.100000000000001" customHeight="1" x14ac:dyDescent="0.25">
      <c r="B83" s="140">
        <v>45638</v>
      </c>
      <c r="C83" s="128" t="str">
        <f>IF(Ingresos!$B83="","",TEXT(Ingresos!$B83,"MMMM" ))</f>
        <v>diciembre</v>
      </c>
      <c r="D83" s="16" t="s">
        <v>127</v>
      </c>
      <c r="E83" s="17"/>
      <c r="F83" s="16" t="s">
        <v>123</v>
      </c>
      <c r="G83" s="18">
        <v>1970369.19</v>
      </c>
      <c r="H83" s="16"/>
      <c r="I83" s="19">
        <f>IF(TablaIngresos[[#This Row],[Impuesto]]="Si",Configuración!$B$20,0)</f>
        <v>0</v>
      </c>
      <c r="J83" s="22">
        <f>TablaIngresos[[#This Row],[Ingreso]]*TablaIngresos[[#This Row],[% de Impuesto]]</f>
        <v>0</v>
      </c>
      <c r="K83" s="22">
        <f>TablaIngresos[[#This Row],[Ingreso]]-TablaIngresos[[#This Row],[Total Impuesto]]</f>
        <v>1970369.19</v>
      </c>
    </row>
    <row r="84" spans="2:11" s="9" customFormat="1" ht="20.100000000000001" customHeight="1" x14ac:dyDescent="0.25">
      <c r="B84" s="140">
        <v>45638</v>
      </c>
      <c r="C84" s="128" t="str">
        <f>IF(Ingresos!$B84="","",TEXT(Ingresos!$B84,"MMMM" ))</f>
        <v>diciembre</v>
      </c>
      <c r="D84" s="16" t="s">
        <v>130</v>
      </c>
      <c r="E84" s="17"/>
      <c r="F84" s="16" t="s">
        <v>12</v>
      </c>
      <c r="G84" s="18">
        <v>1082086.75</v>
      </c>
      <c r="H84" s="16"/>
      <c r="I84" s="19">
        <f>IF(TablaIngresos[[#This Row],[Impuesto]]="Si",Configuración!$B$20,0)</f>
        <v>0</v>
      </c>
      <c r="J84" s="22">
        <f>TablaIngresos[[#This Row],[Ingreso]]*TablaIngresos[[#This Row],[% de Impuesto]]</f>
        <v>0</v>
      </c>
      <c r="K84" s="22">
        <f>TablaIngresos[[#This Row],[Ingreso]]-TablaIngresos[[#This Row],[Total Impuesto]]</f>
        <v>1082086.75</v>
      </c>
    </row>
    <row r="85" spans="2:11" s="9" customFormat="1" ht="20.100000000000001" customHeight="1" x14ac:dyDescent="0.25">
      <c r="B85" s="140">
        <v>45638</v>
      </c>
      <c r="C85" s="128" t="str">
        <f>IF(Ingresos!$B85="","",TEXT(Ingresos!$B85,"MMMM" ))</f>
        <v>diciembre</v>
      </c>
      <c r="D85" s="16" t="s">
        <v>130</v>
      </c>
      <c r="E85" s="17"/>
      <c r="F85" s="16" t="s">
        <v>123</v>
      </c>
      <c r="G85" s="18">
        <v>2424907.42</v>
      </c>
      <c r="H85" s="16"/>
      <c r="I85" s="19">
        <f>IF(TablaIngresos[[#This Row],[Impuesto]]="Si",Configuración!$B$20,0)</f>
        <v>0</v>
      </c>
      <c r="J85" s="22">
        <f>TablaIngresos[[#This Row],[Ingreso]]*TablaIngresos[[#This Row],[% de Impuesto]]</f>
        <v>0</v>
      </c>
      <c r="K85" s="22">
        <f>TablaIngresos[[#This Row],[Ingreso]]-TablaIngresos[[#This Row],[Total Impuesto]]</f>
        <v>2424907.42</v>
      </c>
    </row>
    <row r="86" spans="2:11" s="9" customFormat="1" ht="20.100000000000001" customHeight="1" x14ac:dyDescent="0.25">
      <c r="B86" s="140">
        <v>45638</v>
      </c>
      <c r="C86" s="128" t="str">
        <f>IF(Ingresos!$B86="","",TEXT(Ingresos!$B86,"MMMM" ))</f>
        <v>diciembre</v>
      </c>
      <c r="D86" s="16" t="s">
        <v>129</v>
      </c>
      <c r="E86" s="17"/>
      <c r="F86" s="16" t="s">
        <v>12</v>
      </c>
      <c r="G86" s="18">
        <v>246125</v>
      </c>
      <c r="H86" s="16"/>
      <c r="I86" s="19">
        <f>IF(TablaIngresos[[#This Row],[Impuesto]]="Si",Configuración!$B$20,0)</f>
        <v>0</v>
      </c>
      <c r="J86" s="22">
        <f>TablaIngresos[[#This Row],[Ingreso]]*TablaIngresos[[#This Row],[% de Impuesto]]</f>
        <v>0</v>
      </c>
      <c r="K86" s="22">
        <f>TablaIngresos[[#This Row],[Ingreso]]-TablaIngresos[[#This Row],[Total Impuesto]]</f>
        <v>246125</v>
      </c>
    </row>
    <row r="87" spans="2:11" s="9" customFormat="1" ht="20.100000000000001" customHeight="1" x14ac:dyDescent="0.25">
      <c r="B87" s="140">
        <v>45639</v>
      </c>
      <c r="C87" s="128" t="str">
        <f>IF(Ingresos!$B87="","",TEXT(Ingresos!$B87,"MMMM" ))</f>
        <v>diciembre</v>
      </c>
      <c r="D87" s="16" t="s">
        <v>129</v>
      </c>
      <c r="E87" s="17"/>
      <c r="F87" s="16" t="s">
        <v>12</v>
      </c>
      <c r="G87" s="18">
        <v>117610.91</v>
      </c>
      <c r="H87" s="16"/>
      <c r="I87" s="19">
        <f>IF(TablaIngresos[[#This Row],[Impuesto]]="Si",Configuración!$B$20,0)</f>
        <v>0</v>
      </c>
      <c r="J87" s="22">
        <f>TablaIngresos[[#This Row],[Ingreso]]*TablaIngresos[[#This Row],[% de Impuesto]]</f>
        <v>0</v>
      </c>
      <c r="K87" s="22">
        <f>TablaIngresos[[#This Row],[Ingreso]]-TablaIngresos[[#This Row],[Total Impuesto]]</f>
        <v>117610.91</v>
      </c>
    </row>
    <row r="88" spans="2:11" s="9" customFormat="1" ht="20.100000000000001" customHeight="1" x14ac:dyDescent="0.25">
      <c r="B88" s="140">
        <v>45639</v>
      </c>
      <c r="C88" s="128" t="str">
        <f>IF(Ingresos!$B88="","",TEXT(Ingresos!$B88,"MMMM" ))</f>
        <v>diciembre</v>
      </c>
      <c r="D88" s="16" t="s">
        <v>131</v>
      </c>
      <c r="E88" s="17" t="s">
        <v>366</v>
      </c>
      <c r="F88" s="16" t="s">
        <v>118</v>
      </c>
      <c r="G88" s="18">
        <v>0</v>
      </c>
      <c r="H88" s="16"/>
      <c r="I88" s="19">
        <f>IF(TablaIngresos[[#This Row],[Impuesto]]="Si",Configuración!$B$20,0)</f>
        <v>0</v>
      </c>
      <c r="J88" s="22">
        <f>TablaIngresos[[#This Row],[Ingreso]]*TablaIngresos[[#This Row],[% de Impuesto]]</f>
        <v>0</v>
      </c>
      <c r="K88" s="22">
        <f>TablaIngresos[[#This Row],[Ingreso]]-TablaIngresos[[#This Row],[Total Impuesto]]</f>
        <v>0</v>
      </c>
    </row>
    <row r="89" spans="2:11" s="9" customFormat="1" ht="20.100000000000001" customHeight="1" x14ac:dyDescent="0.25">
      <c r="B89" s="140">
        <v>45639</v>
      </c>
      <c r="C89" s="128" t="str">
        <f>IF(Ingresos!$B89="","",TEXT(Ingresos!$B89,"MMMM" ))</f>
        <v>diciembre</v>
      </c>
      <c r="D89" s="16" t="s">
        <v>126</v>
      </c>
      <c r="E89" s="17"/>
      <c r="F89" s="16" t="s">
        <v>12</v>
      </c>
      <c r="G89" s="18">
        <v>602975.1</v>
      </c>
      <c r="H89" s="16"/>
      <c r="I89" s="19">
        <f>IF(TablaIngresos[[#This Row],[Impuesto]]="Si",Configuración!$B$20,0)</f>
        <v>0</v>
      </c>
      <c r="J89" s="22">
        <f>TablaIngresos[[#This Row],[Ingreso]]*TablaIngresos[[#This Row],[% de Impuesto]]</f>
        <v>0</v>
      </c>
      <c r="K89" s="22">
        <f>TablaIngresos[[#This Row],[Ingreso]]-TablaIngresos[[#This Row],[Total Impuesto]]</f>
        <v>602975.1</v>
      </c>
    </row>
    <row r="90" spans="2:11" s="9" customFormat="1" ht="20.100000000000001" customHeight="1" x14ac:dyDescent="0.25">
      <c r="B90" s="140">
        <v>45639</v>
      </c>
      <c r="C90" s="128" t="str">
        <f>IF(Ingresos!$B90="","",TEXT(Ingresos!$B90,"MMMM" ))</f>
        <v>diciembre</v>
      </c>
      <c r="D90" s="16" t="s">
        <v>126</v>
      </c>
      <c r="E90" s="17"/>
      <c r="F90" s="16" t="s">
        <v>123</v>
      </c>
      <c r="G90" s="18">
        <v>820007.28</v>
      </c>
      <c r="H90" s="16"/>
      <c r="I90" s="19">
        <f>IF(TablaIngresos[[#This Row],[Impuesto]]="Si",Configuración!$B$20,0)</f>
        <v>0</v>
      </c>
      <c r="J90" s="22">
        <f>TablaIngresos[[#This Row],[Ingreso]]*TablaIngresos[[#This Row],[% de Impuesto]]</f>
        <v>0</v>
      </c>
      <c r="K90" s="22">
        <f>TablaIngresos[[#This Row],[Ingreso]]-TablaIngresos[[#This Row],[Total Impuesto]]</f>
        <v>820007.28</v>
      </c>
    </row>
    <row r="91" spans="2:11" s="9" customFormat="1" ht="20.100000000000001" customHeight="1" x14ac:dyDescent="0.25">
      <c r="B91" s="140">
        <v>45639</v>
      </c>
      <c r="C91" s="128" t="str">
        <f>IF(Ingresos!$B91="","",TEXT(Ingresos!$B91,"MMMM" ))</f>
        <v>diciembre</v>
      </c>
      <c r="D91" s="16" t="s">
        <v>130</v>
      </c>
      <c r="E91" s="17"/>
      <c r="F91" s="16" t="s">
        <v>12</v>
      </c>
      <c r="G91" s="18">
        <v>894156.83</v>
      </c>
      <c r="H91" s="16"/>
      <c r="I91" s="19">
        <f>IF(TablaIngresos[[#This Row],[Impuesto]]="Si",Configuración!$B$20,0)</f>
        <v>0</v>
      </c>
      <c r="J91" s="22">
        <f>TablaIngresos[[#This Row],[Ingreso]]*TablaIngresos[[#This Row],[% de Impuesto]]</f>
        <v>0</v>
      </c>
      <c r="K91" s="22">
        <f>TablaIngresos[[#This Row],[Ingreso]]-TablaIngresos[[#This Row],[Total Impuesto]]</f>
        <v>894156.83</v>
      </c>
    </row>
    <row r="92" spans="2:11" s="9" customFormat="1" ht="20.100000000000001" customHeight="1" x14ac:dyDescent="0.25">
      <c r="B92" s="140">
        <v>45639</v>
      </c>
      <c r="C92" s="128" t="str">
        <f>IF(Ingresos!$B92="","",TEXT(Ingresos!$B92,"MMMM" ))</f>
        <v>diciembre</v>
      </c>
      <c r="D92" s="16" t="s">
        <v>130</v>
      </c>
      <c r="E92" s="17"/>
      <c r="F92" s="16" t="s">
        <v>123</v>
      </c>
      <c r="G92" s="18">
        <v>3181489.09</v>
      </c>
      <c r="H92" s="16"/>
      <c r="I92" s="19">
        <f>IF(TablaIngresos[[#This Row],[Impuesto]]="Si",Configuración!$B$20,0)</f>
        <v>0</v>
      </c>
      <c r="J92" s="22">
        <f>TablaIngresos[[#This Row],[Ingreso]]*TablaIngresos[[#This Row],[% de Impuesto]]</f>
        <v>0</v>
      </c>
      <c r="K92" s="22">
        <f>TablaIngresos[[#This Row],[Ingreso]]-TablaIngresos[[#This Row],[Total Impuesto]]</f>
        <v>3181489.09</v>
      </c>
    </row>
    <row r="93" spans="2:11" s="9" customFormat="1" ht="20.100000000000001" customHeight="1" x14ac:dyDescent="0.25">
      <c r="B93" s="140">
        <v>45639</v>
      </c>
      <c r="C93" s="128" t="str">
        <f>IF(Ingresos!$B93="","",TEXT(Ingresos!$B93,"MMMM" ))</f>
        <v>diciembre</v>
      </c>
      <c r="D93" s="16" t="s">
        <v>127</v>
      </c>
      <c r="E93" s="17"/>
      <c r="F93" s="16" t="s">
        <v>12</v>
      </c>
      <c r="G93" s="18">
        <v>2119967.2599999998</v>
      </c>
      <c r="H93" s="16"/>
      <c r="I93" s="19">
        <f>IF(TablaIngresos[[#This Row],[Impuesto]]="Si",Configuración!$B$20,0)</f>
        <v>0</v>
      </c>
      <c r="J93" s="22">
        <f>TablaIngresos[[#This Row],[Ingreso]]*TablaIngresos[[#This Row],[% de Impuesto]]</f>
        <v>0</v>
      </c>
      <c r="K93" s="22">
        <f>TablaIngresos[[#This Row],[Ingreso]]-TablaIngresos[[#This Row],[Total Impuesto]]</f>
        <v>2119967.2599999998</v>
      </c>
    </row>
    <row r="94" spans="2:11" s="9" customFormat="1" ht="20.100000000000001" customHeight="1" x14ac:dyDescent="0.25">
      <c r="B94" s="140">
        <v>45639</v>
      </c>
      <c r="C94" s="128" t="str">
        <f>IF(Ingresos!$B94="","",TEXT(Ingresos!$B94,"MMMM" ))</f>
        <v>diciembre</v>
      </c>
      <c r="D94" s="16" t="s">
        <v>127</v>
      </c>
      <c r="E94" s="17"/>
      <c r="F94" s="16" t="s">
        <v>123</v>
      </c>
      <c r="G94" s="18">
        <v>2631054.04</v>
      </c>
      <c r="H94" s="16"/>
      <c r="I94" s="19">
        <f>IF(TablaIngresos[[#This Row],[Impuesto]]="Si",Configuración!$B$20,0)</f>
        <v>0</v>
      </c>
      <c r="J94" s="22">
        <f>TablaIngresos[[#This Row],[Ingreso]]*TablaIngresos[[#This Row],[% de Impuesto]]</f>
        <v>0</v>
      </c>
      <c r="K94" s="22">
        <f>TablaIngresos[[#This Row],[Ingreso]]-TablaIngresos[[#This Row],[Total Impuesto]]</f>
        <v>2631054.04</v>
      </c>
    </row>
    <row r="95" spans="2:11" s="9" customFormat="1" ht="20.100000000000001" customHeight="1" x14ac:dyDescent="0.25">
      <c r="B95" s="140">
        <v>45640</v>
      </c>
      <c r="C95" s="128" t="str">
        <f>IF(Ingresos!$B95="","",TEXT(Ingresos!$B95,"MMMM" ))</f>
        <v>diciembre</v>
      </c>
      <c r="D95" s="16" t="s">
        <v>126</v>
      </c>
      <c r="E95" s="17"/>
      <c r="F95" s="16" t="s">
        <v>12</v>
      </c>
      <c r="G95" s="18">
        <v>319928.25</v>
      </c>
      <c r="H95" s="16"/>
      <c r="I95" s="19">
        <f>IF(TablaIngresos[[#This Row],[Impuesto]]="Si",Configuración!$B$20,0)</f>
        <v>0</v>
      </c>
      <c r="J95" s="22">
        <f>TablaIngresos[[#This Row],[Ingreso]]*TablaIngresos[[#This Row],[% de Impuesto]]</f>
        <v>0</v>
      </c>
      <c r="K95" s="22">
        <f>TablaIngresos[[#This Row],[Ingreso]]-TablaIngresos[[#This Row],[Total Impuesto]]</f>
        <v>319928.25</v>
      </c>
    </row>
    <row r="96" spans="2:11" s="9" customFormat="1" ht="20.100000000000001" customHeight="1" x14ac:dyDescent="0.25">
      <c r="B96" s="140">
        <v>45640</v>
      </c>
      <c r="C96" s="128" t="str">
        <f>IF(Ingresos!$B96="","",TEXT(Ingresos!$B96,"MMMM" ))</f>
        <v>diciembre</v>
      </c>
      <c r="D96" s="16" t="s">
        <v>126</v>
      </c>
      <c r="E96" s="17"/>
      <c r="F96" s="16" t="s">
        <v>123</v>
      </c>
      <c r="G96" s="18">
        <v>1255872.28</v>
      </c>
      <c r="H96" s="16"/>
      <c r="I96" s="19">
        <f>IF(TablaIngresos[[#This Row],[Impuesto]]="Si",Configuración!$B$20,0)</f>
        <v>0</v>
      </c>
      <c r="J96" s="22">
        <f>TablaIngresos[[#This Row],[Ingreso]]*TablaIngresos[[#This Row],[% de Impuesto]]</f>
        <v>0</v>
      </c>
      <c r="K96" s="22">
        <f>TablaIngresos[[#This Row],[Ingreso]]-TablaIngresos[[#This Row],[Total Impuesto]]</f>
        <v>1255872.28</v>
      </c>
    </row>
    <row r="97" spans="2:11" s="9" customFormat="1" ht="20.100000000000001" customHeight="1" x14ac:dyDescent="0.25">
      <c r="B97" s="140">
        <v>45640</v>
      </c>
      <c r="C97" s="128" t="str">
        <f>IF(Ingresos!$B97="","",TEXT(Ingresos!$B97,"MMMM" ))</f>
        <v>diciembre</v>
      </c>
      <c r="D97" s="16" t="s">
        <v>130</v>
      </c>
      <c r="E97" s="17"/>
      <c r="F97" s="16" t="s">
        <v>12</v>
      </c>
      <c r="G97" s="18">
        <v>1580030.58</v>
      </c>
      <c r="H97" s="16"/>
      <c r="I97" s="19">
        <f>IF(TablaIngresos[[#This Row],[Impuesto]]="Si",Configuración!$B$20,0)</f>
        <v>0</v>
      </c>
      <c r="J97" s="22">
        <f>TablaIngresos[[#This Row],[Ingreso]]*TablaIngresos[[#This Row],[% de Impuesto]]</f>
        <v>0</v>
      </c>
      <c r="K97" s="22">
        <f>TablaIngresos[[#This Row],[Ingreso]]-TablaIngresos[[#This Row],[Total Impuesto]]</f>
        <v>1580030.58</v>
      </c>
    </row>
    <row r="98" spans="2:11" s="9" customFormat="1" ht="20.100000000000001" customHeight="1" x14ac:dyDescent="0.25">
      <c r="B98" s="140">
        <v>45640</v>
      </c>
      <c r="C98" s="128" t="str">
        <f>IF(Ingresos!$B98="","",TEXT(Ingresos!$B98,"MMMM" ))</f>
        <v>diciembre</v>
      </c>
      <c r="D98" s="16" t="s">
        <v>130</v>
      </c>
      <c r="E98" s="17"/>
      <c r="F98" s="16" t="s">
        <v>123</v>
      </c>
      <c r="G98" s="18">
        <v>5533978.7300000004</v>
      </c>
      <c r="H98" s="16"/>
      <c r="I98" s="19">
        <f>IF(TablaIngresos[[#This Row],[Impuesto]]="Si",Configuración!$B$20,0)</f>
        <v>0</v>
      </c>
      <c r="J98" s="22">
        <f>TablaIngresos[[#This Row],[Ingreso]]*TablaIngresos[[#This Row],[% de Impuesto]]</f>
        <v>0</v>
      </c>
      <c r="K98" s="22">
        <f>TablaIngresos[[#This Row],[Ingreso]]-TablaIngresos[[#This Row],[Total Impuesto]]</f>
        <v>5533978.7300000004</v>
      </c>
    </row>
    <row r="99" spans="2:11" s="9" customFormat="1" ht="20.100000000000001" customHeight="1" x14ac:dyDescent="0.25">
      <c r="B99" s="140">
        <v>45640</v>
      </c>
      <c r="C99" s="128" t="str">
        <f>IF(Ingresos!$B99="","",TEXT(Ingresos!$B99,"MMMM" ))</f>
        <v>diciembre</v>
      </c>
      <c r="D99" s="16" t="s">
        <v>127</v>
      </c>
      <c r="E99" s="17"/>
      <c r="F99" s="16" t="s">
        <v>12</v>
      </c>
      <c r="G99" s="18">
        <v>2115995.42</v>
      </c>
      <c r="H99" s="16"/>
      <c r="I99" s="19">
        <f>IF(TablaIngresos[[#This Row],[Impuesto]]="Si",Configuración!$B$20,0)</f>
        <v>0</v>
      </c>
      <c r="J99" s="22">
        <f>TablaIngresos[[#This Row],[Ingreso]]*TablaIngresos[[#This Row],[% de Impuesto]]</f>
        <v>0</v>
      </c>
      <c r="K99" s="22">
        <f>TablaIngresos[[#This Row],[Ingreso]]-TablaIngresos[[#This Row],[Total Impuesto]]</f>
        <v>2115995.42</v>
      </c>
    </row>
    <row r="100" spans="2:11" s="9" customFormat="1" ht="20.100000000000001" customHeight="1" x14ac:dyDescent="0.25">
      <c r="B100" s="140">
        <v>45640</v>
      </c>
      <c r="C100" s="128" t="str">
        <f>IF(Ingresos!$B100="","",TEXT(Ingresos!$B100,"MMMM" ))</f>
        <v>diciembre</v>
      </c>
      <c r="D100" s="16" t="s">
        <v>127</v>
      </c>
      <c r="E100" s="17"/>
      <c r="F100" s="16" t="s">
        <v>123</v>
      </c>
      <c r="G100" s="18">
        <v>4246538.45</v>
      </c>
      <c r="H100" s="16"/>
      <c r="I100" s="19">
        <f>IF(TablaIngresos[[#This Row],[Impuesto]]="Si",Configuración!$B$20,0)</f>
        <v>0</v>
      </c>
      <c r="J100" s="22">
        <f>TablaIngresos[[#This Row],[Ingreso]]*TablaIngresos[[#This Row],[% de Impuesto]]</f>
        <v>0</v>
      </c>
      <c r="K100" s="22">
        <f>TablaIngresos[[#This Row],[Ingreso]]-TablaIngresos[[#This Row],[Total Impuesto]]</f>
        <v>4246538.45</v>
      </c>
    </row>
    <row r="101" spans="2:11" s="9" customFormat="1" ht="20.100000000000001" customHeight="1" x14ac:dyDescent="0.25">
      <c r="B101" s="140">
        <v>45641</v>
      </c>
      <c r="C101" s="128" t="str">
        <f>IF(Ingresos!$B101="","",TEXT(Ingresos!$B101,"MMMM" ))</f>
        <v>diciembre</v>
      </c>
      <c r="D101" s="16" t="s">
        <v>126</v>
      </c>
      <c r="E101" s="17"/>
      <c r="F101" s="16" t="s">
        <v>12</v>
      </c>
      <c r="G101" s="18">
        <v>197512.3</v>
      </c>
      <c r="H101" s="16"/>
      <c r="I101" s="19">
        <f>IF(TablaIngresos[[#This Row],[Impuesto]]="Si",Configuración!$B$20,0)</f>
        <v>0</v>
      </c>
      <c r="J101" s="22">
        <f>TablaIngresos[[#This Row],[Ingreso]]*TablaIngresos[[#This Row],[% de Impuesto]]</f>
        <v>0</v>
      </c>
      <c r="K101" s="22">
        <f>TablaIngresos[[#This Row],[Ingreso]]-TablaIngresos[[#This Row],[Total Impuesto]]</f>
        <v>197512.3</v>
      </c>
    </row>
    <row r="102" spans="2:11" s="9" customFormat="1" ht="20.100000000000001" customHeight="1" x14ac:dyDescent="0.25">
      <c r="B102" s="140">
        <v>45641</v>
      </c>
      <c r="C102" s="128" t="str">
        <f>IF(Ingresos!$B102="","",TEXT(Ingresos!$B102,"MMMM" ))</f>
        <v>diciembre</v>
      </c>
      <c r="D102" s="16" t="s">
        <v>126</v>
      </c>
      <c r="E102" s="17"/>
      <c r="F102" s="16" t="s">
        <v>123</v>
      </c>
      <c r="G102" s="18">
        <v>190470.58</v>
      </c>
      <c r="H102" s="16"/>
      <c r="I102" s="19">
        <f>IF(TablaIngresos[[#This Row],[Impuesto]]="Si",Configuración!$B$20,0)</f>
        <v>0</v>
      </c>
      <c r="J102" s="22">
        <f>TablaIngresos[[#This Row],[Ingreso]]*TablaIngresos[[#This Row],[% de Impuesto]]</f>
        <v>0</v>
      </c>
      <c r="K102" s="22">
        <f>TablaIngresos[[#This Row],[Ingreso]]-TablaIngresos[[#This Row],[Total Impuesto]]</f>
        <v>190470.58</v>
      </c>
    </row>
    <row r="103" spans="2:11" s="9" customFormat="1" ht="20.100000000000001" customHeight="1" x14ac:dyDescent="0.25">
      <c r="B103" s="140">
        <v>45641</v>
      </c>
      <c r="C103" s="128" t="str">
        <f>IF(Ingresos!$B103="","",TEXT(Ingresos!$B103,"MMMM" ))</f>
        <v>diciembre</v>
      </c>
      <c r="D103" s="16" t="s">
        <v>130</v>
      </c>
      <c r="E103" s="17"/>
      <c r="F103" s="16" t="s">
        <v>12</v>
      </c>
      <c r="G103" s="18">
        <v>521083.71</v>
      </c>
      <c r="H103" s="16"/>
      <c r="I103" s="19">
        <f>IF(TablaIngresos[[#This Row],[Impuesto]]="Si",Configuración!$B$20,0)</f>
        <v>0</v>
      </c>
      <c r="J103" s="22">
        <f>TablaIngresos[[#This Row],[Ingreso]]*TablaIngresos[[#This Row],[% de Impuesto]]</f>
        <v>0</v>
      </c>
      <c r="K103" s="22">
        <f>TablaIngresos[[#This Row],[Ingreso]]-TablaIngresos[[#This Row],[Total Impuesto]]</f>
        <v>521083.71</v>
      </c>
    </row>
    <row r="104" spans="2:11" s="9" customFormat="1" ht="20.100000000000001" customHeight="1" x14ac:dyDescent="0.25">
      <c r="B104" s="140">
        <v>45641</v>
      </c>
      <c r="C104" s="128" t="str">
        <f>IF(Ingresos!$B104="","",TEXT(Ingresos!$B104,"MMMM" ))</f>
        <v>diciembre</v>
      </c>
      <c r="D104" s="16" t="s">
        <v>130</v>
      </c>
      <c r="E104" s="17"/>
      <c r="F104" s="16" t="s">
        <v>123</v>
      </c>
      <c r="G104" s="18">
        <v>2147785.27</v>
      </c>
      <c r="H104" s="16"/>
      <c r="I104" s="19">
        <f>IF(TablaIngresos[[#This Row],[Impuesto]]="Si",Configuración!$B$20,0)</f>
        <v>0</v>
      </c>
      <c r="J104" s="22">
        <f>TablaIngresos[[#This Row],[Ingreso]]*TablaIngresos[[#This Row],[% de Impuesto]]</f>
        <v>0</v>
      </c>
      <c r="K104" s="22">
        <f>TablaIngresos[[#This Row],[Ingreso]]-TablaIngresos[[#This Row],[Total Impuesto]]</f>
        <v>2147785.27</v>
      </c>
    </row>
    <row r="105" spans="2:11" s="9" customFormat="1" ht="20.100000000000001" customHeight="1" x14ac:dyDescent="0.25">
      <c r="B105" s="140">
        <v>45641</v>
      </c>
      <c r="C105" s="128" t="str">
        <f>IF(Ingresos!$B105="","",TEXT(Ingresos!$B105,"MMMM" ))</f>
        <v>diciembre</v>
      </c>
      <c r="D105" s="16" t="s">
        <v>127</v>
      </c>
      <c r="E105" s="17"/>
      <c r="F105" s="16" t="s">
        <v>12</v>
      </c>
      <c r="G105" s="18">
        <v>912051.34</v>
      </c>
      <c r="H105" s="16"/>
      <c r="I105" s="19">
        <f>IF(TablaIngresos[[#This Row],[Impuesto]]="Si",Configuración!$B$20,0)</f>
        <v>0</v>
      </c>
      <c r="J105" s="22">
        <f>TablaIngresos[[#This Row],[Ingreso]]*TablaIngresos[[#This Row],[% de Impuesto]]</f>
        <v>0</v>
      </c>
      <c r="K105" s="22">
        <f>TablaIngresos[[#This Row],[Ingreso]]-TablaIngresos[[#This Row],[Total Impuesto]]</f>
        <v>912051.34</v>
      </c>
    </row>
    <row r="106" spans="2:11" s="9" customFormat="1" ht="20.100000000000001" customHeight="1" x14ac:dyDescent="0.25">
      <c r="B106" s="140">
        <v>45641</v>
      </c>
      <c r="C106" s="128" t="str">
        <f>IF(Ingresos!$B106="","",TEXT(Ingresos!$B106,"MMMM" ))</f>
        <v>diciembre</v>
      </c>
      <c r="D106" s="16" t="s">
        <v>127</v>
      </c>
      <c r="E106" s="17"/>
      <c r="F106" s="16" t="s">
        <v>123</v>
      </c>
      <c r="G106" s="18">
        <v>1585931.77</v>
      </c>
      <c r="H106" s="16"/>
      <c r="I106" s="19">
        <f>IF(TablaIngresos[[#This Row],[Impuesto]]="Si",Configuración!$B$20,0)</f>
        <v>0</v>
      </c>
      <c r="J106" s="22">
        <f>TablaIngresos[[#This Row],[Ingreso]]*TablaIngresos[[#This Row],[% de Impuesto]]</f>
        <v>0</v>
      </c>
      <c r="K106" s="22">
        <f>TablaIngresos[[#This Row],[Ingreso]]-TablaIngresos[[#This Row],[Total Impuesto]]</f>
        <v>1585931.77</v>
      </c>
    </row>
    <row r="107" spans="2:11" s="9" customFormat="1" ht="20.100000000000001" customHeight="1" x14ac:dyDescent="0.25">
      <c r="B107" s="140">
        <v>45642</v>
      </c>
      <c r="C107" s="128" t="str">
        <f>IF(Ingresos!$B107="","",TEXT(Ingresos!$B107,"MMMM" ))</f>
        <v>diciembre</v>
      </c>
      <c r="D107" s="16" t="s">
        <v>126</v>
      </c>
      <c r="E107" s="17"/>
      <c r="F107" s="16" t="s">
        <v>12</v>
      </c>
      <c r="G107" s="18">
        <v>173122.97</v>
      </c>
      <c r="H107" s="16"/>
      <c r="I107" s="19">
        <f>IF(TablaIngresos[[#This Row],[Impuesto]]="Si",Configuración!$B$20,0)</f>
        <v>0</v>
      </c>
      <c r="J107" s="22">
        <f>TablaIngresos[[#This Row],[Ingreso]]*TablaIngresos[[#This Row],[% de Impuesto]]</f>
        <v>0</v>
      </c>
      <c r="K107" s="22">
        <f>TablaIngresos[[#This Row],[Ingreso]]-TablaIngresos[[#This Row],[Total Impuesto]]</f>
        <v>173122.97</v>
      </c>
    </row>
    <row r="108" spans="2:11" s="9" customFormat="1" ht="20.100000000000001" customHeight="1" x14ac:dyDescent="0.25">
      <c r="B108" s="140">
        <v>45642</v>
      </c>
      <c r="C108" s="128" t="str">
        <f>IF(Ingresos!$B108="","",TEXT(Ingresos!$B108,"MMMM" ))</f>
        <v>diciembre</v>
      </c>
      <c r="D108" s="16" t="s">
        <v>126</v>
      </c>
      <c r="E108" s="17"/>
      <c r="F108" s="16" t="s">
        <v>123</v>
      </c>
      <c r="G108" s="18">
        <v>203879.22</v>
      </c>
      <c r="H108" s="16"/>
      <c r="I108" s="19">
        <f>IF(TablaIngresos[[#This Row],[Impuesto]]="Si",Configuración!$B$20,0)</f>
        <v>0</v>
      </c>
      <c r="J108" s="22">
        <f>TablaIngresos[[#This Row],[Ingreso]]*TablaIngresos[[#This Row],[% de Impuesto]]</f>
        <v>0</v>
      </c>
      <c r="K108" s="22">
        <f>TablaIngresos[[#This Row],[Ingreso]]-TablaIngresos[[#This Row],[Total Impuesto]]</f>
        <v>203879.22</v>
      </c>
    </row>
    <row r="109" spans="2:11" s="9" customFormat="1" ht="20.100000000000001" customHeight="1" x14ac:dyDescent="0.25">
      <c r="B109" s="140">
        <v>45642</v>
      </c>
      <c r="C109" s="128" t="str">
        <f>IF(Ingresos!$B109="","",TEXT(Ingresos!$B109,"MMMM" ))</f>
        <v>diciembre</v>
      </c>
      <c r="D109" s="16" t="s">
        <v>130</v>
      </c>
      <c r="E109" s="17"/>
      <c r="F109" s="16" t="s">
        <v>12</v>
      </c>
      <c r="G109" s="18">
        <v>577543.91</v>
      </c>
      <c r="H109" s="16"/>
      <c r="I109" s="19">
        <f>IF(TablaIngresos[[#This Row],[Impuesto]]="Si",Configuración!$B$20,0)</f>
        <v>0</v>
      </c>
      <c r="J109" s="22">
        <f>TablaIngresos[[#This Row],[Ingreso]]*TablaIngresos[[#This Row],[% de Impuesto]]</f>
        <v>0</v>
      </c>
      <c r="K109" s="22">
        <f>TablaIngresos[[#This Row],[Ingreso]]-TablaIngresos[[#This Row],[Total Impuesto]]</f>
        <v>577543.91</v>
      </c>
    </row>
    <row r="110" spans="2:11" s="9" customFormat="1" ht="20.100000000000001" customHeight="1" x14ac:dyDescent="0.25">
      <c r="B110" s="140">
        <v>45642</v>
      </c>
      <c r="C110" s="128" t="str">
        <f>IF(Ingresos!$B110="","",TEXT(Ingresos!$B110,"MMMM" ))</f>
        <v>diciembre</v>
      </c>
      <c r="D110" s="16" t="s">
        <v>130</v>
      </c>
      <c r="E110" s="17"/>
      <c r="F110" s="16" t="s">
        <v>123</v>
      </c>
      <c r="G110" s="18">
        <v>1250297.8999999999</v>
      </c>
      <c r="H110" s="16"/>
      <c r="I110" s="19">
        <f>IF(TablaIngresos[[#This Row],[Impuesto]]="Si",Configuración!$B$20,0)</f>
        <v>0</v>
      </c>
      <c r="J110" s="22">
        <f>TablaIngresos[[#This Row],[Ingreso]]*TablaIngresos[[#This Row],[% de Impuesto]]</f>
        <v>0</v>
      </c>
      <c r="K110" s="22">
        <f>TablaIngresos[[#This Row],[Ingreso]]-TablaIngresos[[#This Row],[Total Impuesto]]</f>
        <v>1250297.8999999999</v>
      </c>
    </row>
    <row r="111" spans="2:11" s="9" customFormat="1" ht="20.100000000000001" customHeight="1" x14ac:dyDescent="0.25">
      <c r="B111" s="140">
        <v>45642</v>
      </c>
      <c r="C111" s="128" t="str">
        <f>IF(Ingresos!$B111="","",TEXT(Ingresos!$B111,"MMMM" ))</f>
        <v>diciembre</v>
      </c>
      <c r="D111" s="16" t="s">
        <v>127</v>
      </c>
      <c r="E111" s="17"/>
      <c r="F111" s="16" t="s">
        <v>12</v>
      </c>
      <c r="G111" s="18">
        <v>691245.17</v>
      </c>
      <c r="H111" s="16"/>
      <c r="I111" s="19">
        <f>IF(TablaIngresos[[#This Row],[Impuesto]]="Si",Configuración!$B$20,0)</f>
        <v>0</v>
      </c>
      <c r="J111" s="22">
        <f>TablaIngresos[[#This Row],[Ingreso]]*TablaIngresos[[#This Row],[% de Impuesto]]</f>
        <v>0</v>
      </c>
      <c r="K111" s="22">
        <f>TablaIngresos[[#This Row],[Ingreso]]-TablaIngresos[[#This Row],[Total Impuesto]]</f>
        <v>691245.17</v>
      </c>
    </row>
    <row r="112" spans="2:11" s="9" customFormat="1" ht="20.100000000000001" customHeight="1" x14ac:dyDescent="0.25">
      <c r="B112" s="140">
        <v>45642</v>
      </c>
      <c r="C112" s="128" t="str">
        <f>IF(Ingresos!$B112="","",TEXT(Ingresos!$B112,"MMMM" ))</f>
        <v>diciembre</v>
      </c>
      <c r="D112" s="16" t="s">
        <v>127</v>
      </c>
      <c r="E112" s="17"/>
      <c r="F112" s="16" t="s">
        <v>123</v>
      </c>
      <c r="G112" s="18">
        <v>1440663.46</v>
      </c>
      <c r="H112" s="16"/>
      <c r="I112" s="19">
        <f>IF(TablaIngresos[[#This Row],[Impuesto]]="Si",Configuración!$B$20,0)</f>
        <v>0</v>
      </c>
      <c r="J112" s="22">
        <f>TablaIngresos[[#This Row],[Ingreso]]*TablaIngresos[[#This Row],[% de Impuesto]]</f>
        <v>0</v>
      </c>
      <c r="K112" s="22">
        <f>TablaIngresos[[#This Row],[Ingreso]]-TablaIngresos[[#This Row],[Total Impuesto]]</f>
        <v>1440663.46</v>
      </c>
    </row>
    <row r="113" spans="2:11" s="9" customFormat="1" ht="20.100000000000001" customHeight="1" x14ac:dyDescent="0.25">
      <c r="B113" s="140">
        <v>45643</v>
      </c>
      <c r="C113" s="128" t="str">
        <f>IF(Ingresos!$B113="","",TEXT(Ingresos!$B113,"MMMM" ))</f>
        <v>diciembre</v>
      </c>
      <c r="D113" s="16" t="s">
        <v>126</v>
      </c>
      <c r="E113" s="17"/>
      <c r="F113" s="16" t="s">
        <v>12</v>
      </c>
      <c r="G113" s="18">
        <v>1309765.93</v>
      </c>
      <c r="H113" s="16"/>
      <c r="I113" s="19">
        <f>IF(TablaIngresos[[#This Row],[Impuesto]]="Si",Configuración!$B$20,0)</f>
        <v>0</v>
      </c>
      <c r="J113" s="22">
        <f>TablaIngresos[[#This Row],[Ingreso]]*TablaIngresos[[#This Row],[% de Impuesto]]</f>
        <v>0</v>
      </c>
      <c r="K113" s="22">
        <f>TablaIngresos[[#This Row],[Ingreso]]-TablaIngresos[[#This Row],[Total Impuesto]]</f>
        <v>1309765.93</v>
      </c>
    </row>
    <row r="114" spans="2:11" s="9" customFormat="1" ht="20.100000000000001" customHeight="1" x14ac:dyDescent="0.25">
      <c r="B114" s="140">
        <v>45643</v>
      </c>
      <c r="C114" s="128" t="str">
        <f>IF(Ingresos!$B114="","",TEXT(Ingresos!$B114,"MMMM" ))</f>
        <v>diciembre</v>
      </c>
      <c r="D114" s="16" t="s">
        <v>126</v>
      </c>
      <c r="E114" s="17"/>
      <c r="F114" s="16" t="s">
        <v>123</v>
      </c>
      <c r="G114" s="18">
        <v>1571112.91</v>
      </c>
      <c r="H114" s="16"/>
      <c r="I114" s="19">
        <f>IF(TablaIngresos[[#This Row],[Impuesto]]="Si",Configuración!$B$20,0)</f>
        <v>0</v>
      </c>
      <c r="J114" s="22">
        <f>TablaIngresos[[#This Row],[Ingreso]]*TablaIngresos[[#This Row],[% de Impuesto]]</f>
        <v>0</v>
      </c>
      <c r="K114" s="22">
        <f>TablaIngresos[[#This Row],[Ingreso]]-TablaIngresos[[#This Row],[Total Impuesto]]</f>
        <v>1571112.91</v>
      </c>
    </row>
    <row r="115" spans="2:11" s="9" customFormat="1" ht="20.100000000000001" customHeight="1" x14ac:dyDescent="0.25">
      <c r="B115" s="140">
        <v>45643</v>
      </c>
      <c r="C115" s="128" t="str">
        <f>IF(Ingresos!$B115="","",TEXT(Ingresos!$B115,"MMMM" ))</f>
        <v>diciembre</v>
      </c>
      <c r="D115" s="16" t="s">
        <v>130</v>
      </c>
      <c r="E115" s="17"/>
      <c r="F115" s="16" t="s">
        <v>12</v>
      </c>
      <c r="G115" s="18">
        <v>1337375.1599999999</v>
      </c>
      <c r="H115" s="16"/>
      <c r="I115" s="19">
        <f>IF(TablaIngresos[[#This Row],[Impuesto]]="Si",Configuración!$B$20,0)</f>
        <v>0</v>
      </c>
      <c r="J115" s="22">
        <f>TablaIngresos[[#This Row],[Ingreso]]*TablaIngresos[[#This Row],[% de Impuesto]]</f>
        <v>0</v>
      </c>
      <c r="K115" s="22">
        <f>TablaIngresos[[#This Row],[Ingreso]]-TablaIngresos[[#This Row],[Total Impuesto]]</f>
        <v>1337375.1599999999</v>
      </c>
    </row>
    <row r="116" spans="2:11" s="9" customFormat="1" ht="20.100000000000001" customHeight="1" x14ac:dyDescent="0.25">
      <c r="B116" s="140">
        <v>45643</v>
      </c>
      <c r="C116" s="128" t="str">
        <f>IF(Ingresos!$B116="","",TEXT(Ingresos!$B116,"MMMM" ))</f>
        <v>diciembre</v>
      </c>
      <c r="D116" s="16" t="s">
        <v>130</v>
      </c>
      <c r="E116" s="17"/>
      <c r="F116" s="16" t="s">
        <v>123</v>
      </c>
      <c r="G116" s="18">
        <v>2091008.37</v>
      </c>
      <c r="H116" s="16"/>
      <c r="I116" s="19">
        <f>IF(TablaIngresos[[#This Row],[Impuesto]]="Si",Configuración!$B$20,0)</f>
        <v>0</v>
      </c>
      <c r="J116" s="22">
        <f>TablaIngresos[[#This Row],[Ingreso]]*TablaIngresos[[#This Row],[% de Impuesto]]</f>
        <v>0</v>
      </c>
      <c r="K116" s="22">
        <f>TablaIngresos[[#This Row],[Ingreso]]-TablaIngresos[[#This Row],[Total Impuesto]]</f>
        <v>2091008.37</v>
      </c>
    </row>
    <row r="117" spans="2:11" s="9" customFormat="1" ht="20.100000000000001" customHeight="1" x14ac:dyDescent="0.25">
      <c r="B117" s="140">
        <v>45643</v>
      </c>
      <c r="C117" s="128" t="str">
        <f>IF(Ingresos!$B117="","",TEXT(Ingresos!$B117,"MMMM" ))</f>
        <v>diciembre</v>
      </c>
      <c r="D117" s="16" t="s">
        <v>127</v>
      </c>
      <c r="E117" s="17"/>
      <c r="F117" s="16" t="s">
        <v>12</v>
      </c>
      <c r="G117" s="18">
        <v>1484966.34</v>
      </c>
      <c r="H117" s="16"/>
      <c r="I117" s="19">
        <f>IF(TablaIngresos[[#This Row],[Impuesto]]="Si",Configuración!$B$20,0)</f>
        <v>0</v>
      </c>
      <c r="J117" s="22">
        <f>TablaIngresos[[#This Row],[Ingreso]]*TablaIngresos[[#This Row],[% de Impuesto]]</f>
        <v>0</v>
      </c>
      <c r="K117" s="22">
        <f>TablaIngresos[[#This Row],[Ingreso]]-TablaIngresos[[#This Row],[Total Impuesto]]</f>
        <v>1484966.34</v>
      </c>
    </row>
    <row r="118" spans="2:11" s="9" customFormat="1" ht="20.100000000000001" customHeight="1" x14ac:dyDescent="0.25">
      <c r="B118" s="140">
        <v>45643</v>
      </c>
      <c r="C118" s="128" t="str">
        <f>IF(Ingresos!$B118="","",TEXT(Ingresos!$B118,"MMMM" ))</f>
        <v>diciembre</v>
      </c>
      <c r="D118" s="16" t="s">
        <v>127</v>
      </c>
      <c r="E118" s="17"/>
      <c r="F118" s="16" t="s">
        <v>123</v>
      </c>
      <c r="G118" s="18">
        <v>1765198.42</v>
      </c>
      <c r="H118" s="16"/>
      <c r="I118" s="19">
        <f>IF(TablaIngresos[[#This Row],[Impuesto]]="Si",Configuración!$B$20,0)</f>
        <v>0</v>
      </c>
      <c r="J118" s="22">
        <f>TablaIngresos[[#This Row],[Ingreso]]*TablaIngresos[[#This Row],[% de Impuesto]]</f>
        <v>0</v>
      </c>
      <c r="K118" s="22">
        <f>TablaIngresos[[#This Row],[Ingreso]]-TablaIngresos[[#This Row],[Total Impuesto]]</f>
        <v>1765198.42</v>
      </c>
    </row>
    <row r="119" spans="2:11" s="9" customFormat="1" ht="20.100000000000001" customHeight="1" x14ac:dyDescent="0.25">
      <c r="B119" s="140">
        <v>45635</v>
      </c>
      <c r="C119" s="128" t="str">
        <f>IF(Ingresos!$B119="","",TEXT(Ingresos!$B119,"MMMM" ))</f>
        <v>diciembre</v>
      </c>
      <c r="D119" s="16" t="s">
        <v>132</v>
      </c>
      <c r="E119" s="17"/>
      <c r="F119" s="16" t="s">
        <v>147</v>
      </c>
      <c r="G119" s="18">
        <v>116001.28</v>
      </c>
      <c r="H119" s="16"/>
      <c r="I119" s="19">
        <f>IF(TablaIngresos[[#This Row],[Impuesto]]="Si",Configuración!$B$20,0)</f>
        <v>0</v>
      </c>
      <c r="J119" s="22">
        <f>TablaIngresos[[#This Row],[Ingreso]]*TablaIngresos[[#This Row],[% de Impuesto]]</f>
        <v>0</v>
      </c>
      <c r="K119" s="22">
        <f>TablaIngresos[[#This Row],[Ingreso]]-TablaIngresos[[#This Row],[Total Impuesto]]</f>
        <v>116001.28</v>
      </c>
    </row>
    <row r="120" spans="2:11" s="9" customFormat="1" ht="20.100000000000001" customHeight="1" x14ac:dyDescent="0.25">
      <c r="B120" s="140">
        <v>45632</v>
      </c>
      <c r="C120" s="128" t="str">
        <f>IF(Ingresos!$B120="","",TEXT(Ingresos!$B120,"MMMM" ))</f>
        <v>diciembre</v>
      </c>
      <c r="D120" s="16" t="s">
        <v>132</v>
      </c>
      <c r="E120" s="17"/>
      <c r="F120" s="16" t="s">
        <v>147</v>
      </c>
      <c r="G120" s="18">
        <v>132035.69</v>
      </c>
      <c r="H120" s="16"/>
      <c r="I120" s="19">
        <f>IF(TablaIngresos[[#This Row],[Impuesto]]="Si",Configuración!$B$20,0)</f>
        <v>0</v>
      </c>
      <c r="J120" s="22">
        <f>TablaIngresos[[#This Row],[Ingreso]]*TablaIngresos[[#This Row],[% de Impuesto]]</f>
        <v>0</v>
      </c>
      <c r="K120" s="22">
        <f>TablaIngresos[[#This Row],[Ingreso]]-TablaIngresos[[#This Row],[Total Impuesto]]</f>
        <v>132035.69</v>
      </c>
    </row>
    <row r="121" spans="2:11" s="9" customFormat="1" ht="20.100000000000001" customHeight="1" x14ac:dyDescent="0.25">
      <c r="B121" s="140">
        <v>45631</v>
      </c>
      <c r="C121" s="128" t="str">
        <f>IF(Ingresos!$B121="","",TEXT(Ingresos!$B121,"MMMM" ))</f>
        <v>diciembre</v>
      </c>
      <c r="D121" s="16" t="s">
        <v>132</v>
      </c>
      <c r="E121" s="17"/>
      <c r="F121" s="16" t="s">
        <v>147</v>
      </c>
      <c r="G121" s="18">
        <v>1484005.92</v>
      </c>
      <c r="H121" s="16"/>
      <c r="I121" s="19">
        <f>IF(TablaIngresos[[#This Row],[Impuesto]]="Si",Configuración!$B$20,0)</f>
        <v>0</v>
      </c>
      <c r="J121" s="22">
        <f>TablaIngresos[[#This Row],[Ingreso]]*TablaIngresos[[#This Row],[% de Impuesto]]</f>
        <v>0</v>
      </c>
      <c r="K121" s="22">
        <f>TablaIngresos[[#This Row],[Ingreso]]-TablaIngresos[[#This Row],[Total Impuesto]]</f>
        <v>1484005.92</v>
      </c>
    </row>
    <row r="122" spans="2:11" s="9" customFormat="1" ht="20.100000000000001" customHeight="1" x14ac:dyDescent="0.25">
      <c r="B122" s="140">
        <v>45630</v>
      </c>
      <c r="C122" s="128" t="str">
        <f>IF(Ingresos!$B122="","",TEXT(Ingresos!$B122,"MMMM" ))</f>
        <v>diciembre</v>
      </c>
      <c r="D122" s="16" t="s">
        <v>132</v>
      </c>
      <c r="E122" s="17"/>
      <c r="F122" s="16" t="s">
        <v>147</v>
      </c>
      <c r="G122" s="18">
        <v>1360823.77</v>
      </c>
      <c r="H122" s="16"/>
      <c r="I122" s="19">
        <f>IF(TablaIngresos[[#This Row],[Impuesto]]="Si",Configuración!$B$20,0)</f>
        <v>0</v>
      </c>
      <c r="J122" s="22">
        <f>TablaIngresos[[#This Row],[Ingreso]]*TablaIngresos[[#This Row],[% de Impuesto]]</f>
        <v>0</v>
      </c>
      <c r="K122" s="22">
        <f>TablaIngresos[[#This Row],[Ingreso]]-TablaIngresos[[#This Row],[Total Impuesto]]</f>
        <v>1360823.77</v>
      </c>
    </row>
    <row r="123" spans="2:11" s="9" customFormat="1" ht="20.100000000000001" customHeight="1" x14ac:dyDescent="0.25">
      <c r="B123" s="140">
        <v>45629</v>
      </c>
      <c r="C123" s="128" t="str">
        <f>IF(Ingresos!$B123="","",TEXT(Ingresos!$B123,"MMMM" ))</f>
        <v>diciembre</v>
      </c>
      <c r="D123" s="16" t="s">
        <v>132</v>
      </c>
      <c r="E123" s="17"/>
      <c r="F123" s="16" t="s">
        <v>147</v>
      </c>
      <c r="G123" s="18">
        <v>8428217.0600000005</v>
      </c>
      <c r="H123" s="16"/>
      <c r="I123" s="19">
        <f>IF(TablaIngresos[[#This Row],[Impuesto]]="Si",Configuración!$B$20,0)</f>
        <v>0</v>
      </c>
      <c r="J123" s="22">
        <f>TablaIngresos[[#This Row],[Ingreso]]*TablaIngresos[[#This Row],[% de Impuesto]]</f>
        <v>0</v>
      </c>
      <c r="K123" s="22">
        <f>TablaIngresos[[#This Row],[Ingreso]]-TablaIngresos[[#This Row],[Total Impuesto]]</f>
        <v>8428217.0600000005</v>
      </c>
    </row>
    <row r="124" spans="2:11" s="9" customFormat="1" ht="20.100000000000001" customHeight="1" x14ac:dyDescent="0.25">
      <c r="B124" s="140">
        <v>45628</v>
      </c>
      <c r="C124" s="128" t="str">
        <f>IF(Ingresos!$B124="","",TEXT(Ingresos!$B124,"MMMM" ))</f>
        <v>diciembre</v>
      </c>
      <c r="D124" s="16" t="s">
        <v>132</v>
      </c>
      <c r="E124" s="17"/>
      <c r="F124" s="16" t="s">
        <v>147</v>
      </c>
      <c r="G124" s="18">
        <v>2772892.28</v>
      </c>
      <c r="H124" s="16"/>
      <c r="I124" s="19">
        <f>IF(TablaIngresos[[#This Row],[Impuesto]]="Si",Configuración!$B$20,0)</f>
        <v>0</v>
      </c>
      <c r="J124" s="22">
        <f>TablaIngresos[[#This Row],[Ingreso]]*TablaIngresos[[#This Row],[% de Impuesto]]</f>
        <v>0</v>
      </c>
      <c r="K124" s="22">
        <f>TablaIngresos[[#This Row],[Ingreso]]-TablaIngresos[[#This Row],[Total Impuesto]]</f>
        <v>2772892.28</v>
      </c>
    </row>
    <row r="125" spans="2:11" s="9" customFormat="1" ht="20.100000000000001" customHeight="1" x14ac:dyDescent="0.25">
      <c r="B125" s="140">
        <v>45628</v>
      </c>
      <c r="C125" s="128" t="str">
        <f>IF(Ingresos!$B125="","",TEXT(Ingresos!$B125,"MMMM" ))</f>
        <v>diciembre</v>
      </c>
      <c r="D125" s="16" t="s">
        <v>134</v>
      </c>
      <c r="E125" s="17"/>
      <c r="F125" s="16" t="s">
        <v>147</v>
      </c>
      <c r="G125" s="18">
        <v>3821905.65</v>
      </c>
      <c r="H125" s="16"/>
      <c r="I125" s="19">
        <f>IF(TablaIngresos[[#This Row],[Impuesto]]="Si",Configuración!$B$20,0)</f>
        <v>0</v>
      </c>
      <c r="J125" s="22">
        <f>TablaIngresos[[#This Row],[Ingreso]]*TablaIngresos[[#This Row],[% de Impuesto]]</f>
        <v>0</v>
      </c>
      <c r="K125" s="22">
        <f>TablaIngresos[[#This Row],[Ingreso]]-TablaIngresos[[#This Row],[Total Impuesto]]</f>
        <v>3821905.65</v>
      </c>
    </row>
    <row r="126" spans="2:11" s="9" customFormat="1" ht="20.100000000000001" customHeight="1" x14ac:dyDescent="0.25">
      <c r="B126" s="140">
        <v>45629</v>
      </c>
      <c r="C126" s="128" t="str">
        <f>IF(Ingresos!$B126="","",TEXT(Ingresos!$B126,"MMMM" ))</f>
        <v>diciembre</v>
      </c>
      <c r="D126" s="16" t="s">
        <v>134</v>
      </c>
      <c r="E126" s="17"/>
      <c r="F126" s="16" t="s">
        <v>147</v>
      </c>
      <c r="G126" s="18">
        <v>4775892.0999999996</v>
      </c>
      <c r="H126" s="16"/>
      <c r="I126" s="19">
        <f>IF(TablaIngresos[[#This Row],[Impuesto]]="Si",Configuración!$B$20,0)</f>
        <v>0</v>
      </c>
      <c r="J126" s="22">
        <f>TablaIngresos[[#This Row],[Ingreso]]*TablaIngresos[[#This Row],[% de Impuesto]]</f>
        <v>0</v>
      </c>
      <c r="K126" s="22">
        <f>TablaIngresos[[#This Row],[Ingreso]]-TablaIngresos[[#This Row],[Total Impuesto]]</f>
        <v>4775892.0999999996</v>
      </c>
    </row>
    <row r="127" spans="2:11" s="9" customFormat="1" ht="20.100000000000001" customHeight="1" x14ac:dyDescent="0.25">
      <c r="B127" s="140">
        <v>45630</v>
      </c>
      <c r="C127" s="128" t="str">
        <f>IF(Ingresos!$B127="","",TEXT(Ingresos!$B127,"MMMM" ))</f>
        <v>diciembre</v>
      </c>
      <c r="D127" s="16" t="s">
        <v>134</v>
      </c>
      <c r="E127" s="17"/>
      <c r="F127" s="16" t="s">
        <v>147</v>
      </c>
      <c r="G127" s="18">
        <v>878426.48</v>
      </c>
      <c r="H127" s="16"/>
      <c r="I127" s="19">
        <f>IF(TablaIngresos[[#This Row],[Impuesto]]="Si",Configuración!$B$20,0)</f>
        <v>0</v>
      </c>
      <c r="J127" s="22">
        <f>TablaIngresos[[#This Row],[Ingreso]]*TablaIngresos[[#This Row],[% de Impuesto]]</f>
        <v>0</v>
      </c>
      <c r="K127" s="22">
        <f>TablaIngresos[[#This Row],[Ingreso]]-TablaIngresos[[#This Row],[Total Impuesto]]</f>
        <v>878426.48</v>
      </c>
    </row>
    <row r="128" spans="2:11" s="9" customFormat="1" ht="20.100000000000001" customHeight="1" x14ac:dyDescent="0.25">
      <c r="B128" s="140">
        <v>45631</v>
      </c>
      <c r="C128" s="128" t="str">
        <f>IF(Ingresos!$B128="","",TEXT(Ingresos!$B128,"MMMM" ))</f>
        <v>diciembre</v>
      </c>
      <c r="D128" s="16" t="s">
        <v>134</v>
      </c>
      <c r="E128" s="17"/>
      <c r="F128" s="16" t="s">
        <v>147</v>
      </c>
      <c r="G128" s="18">
        <v>832314.52</v>
      </c>
      <c r="H128" s="16"/>
      <c r="I128" s="19">
        <f>IF(TablaIngresos[[#This Row],[Impuesto]]="Si",Configuración!$B$20,0)</f>
        <v>0</v>
      </c>
      <c r="J128" s="22">
        <f>TablaIngresos[[#This Row],[Ingreso]]*TablaIngresos[[#This Row],[% de Impuesto]]</f>
        <v>0</v>
      </c>
      <c r="K128" s="22">
        <f>TablaIngresos[[#This Row],[Ingreso]]-TablaIngresos[[#This Row],[Total Impuesto]]</f>
        <v>832314.52</v>
      </c>
    </row>
    <row r="129" spans="2:11" s="9" customFormat="1" ht="20.100000000000001" customHeight="1" x14ac:dyDescent="0.25">
      <c r="B129" s="140">
        <v>45632</v>
      </c>
      <c r="C129" s="128" t="str">
        <f>IF(Ingresos!$B129="","",TEXT(Ingresos!$B129,"MMMM" ))</f>
        <v>diciembre</v>
      </c>
      <c r="D129" s="16" t="s">
        <v>134</v>
      </c>
      <c r="E129" s="17"/>
      <c r="F129" s="16" t="s">
        <v>147</v>
      </c>
      <c r="G129" s="18">
        <v>1027876.41</v>
      </c>
      <c r="H129" s="16"/>
      <c r="I129" s="19">
        <f>IF(TablaIngresos[[#This Row],[Impuesto]]="Si",Configuración!$B$20,0)</f>
        <v>0</v>
      </c>
      <c r="J129" s="22">
        <f>TablaIngresos[[#This Row],[Ingreso]]*TablaIngresos[[#This Row],[% de Impuesto]]</f>
        <v>0</v>
      </c>
      <c r="K129" s="22">
        <f>TablaIngresos[[#This Row],[Ingreso]]-TablaIngresos[[#This Row],[Total Impuesto]]</f>
        <v>1027876.41</v>
      </c>
    </row>
    <row r="130" spans="2:11" s="9" customFormat="1" ht="20.100000000000001" customHeight="1" x14ac:dyDescent="0.25">
      <c r="B130" s="140">
        <v>45635</v>
      </c>
      <c r="C130" s="128" t="str">
        <f>IF(Ingresos!$B130="","",TEXT(Ingresos!$B130,"MMMM" ))</f>
        <v>diciembre</v>
      </c>
      <c r="D130" s="16" t="s">
        <v>134</v>
      </c>
      <c r="E130" s="17"/>
      <c r="F130" s="16" t="s">
        <v>147</v>
      </c>
      <c r="G130" s="18">
        <v>1267277.53</v>
      </c>
      <c r="H130" s="16"/>
      <c r="I130" s="19">
        <f>IF(TablaIngresos[[#This Row],[Impuesto]]="Si",Configuración!$B$20,0)</f>
        <v>0</v>
      </c>
      <c r="J130" s="22">
        <f>TablaIngresos[[#This Row],[Ingreso]]*TablaIngresos[[#This Row],[% de Impuesto]]</f>
        <v>0</v>
      </c>
      <c r="K130" s="22">
        <f>TablaIngresos[[#This Row],[Ingreso]]-TablaIngresos[[#This Row],[Total Impuesto]]</f>
        <v>1267277.53</v>
      </c>
    </row>
    <row r="131" spans="2:11" s="9" customFormat="1" ht="20.100000000000001" customHeight="1" x14ac:dyDescent="0.25">
      <c r="B131" s="140">
        <v>45636</v>
      </c>
      <c r="C131" s="128" t="str">
        <f>IF(Ingresos!$B131="","",TEXT(Ingresos!$B131,"MMMM" ))</f>
        <v>diciembre</v>
      </c>
      <c r="D131" s="16" t="s">
        <v>134</v>
      </c>
      <c r="E131" s="17"/>
      <c r="F131" s="16" t="s">
        <v>147</v>
      </c>
      <c r="G131" s="18">
        <v>5082032.45</v>
      </c>
      <c r="H131" s="16"/>
      <c r="I131" s="19">
        <f>IF(TablaIngresos[[#This Row],[Impuesto]]="Si",Configuración!$B$20,0)</f>
        <v>0</v>
      </c>
      <c r="J131" s="22">
        <f>TablaIngresos[[#This Row],[Ingreso]]*TablaIngresos[[#This Row],[% de Impuesto]]</f>
        <v>0</v>
      </c>
      <c r="K131" s="22">
        <f>TablaIngresos[[#This Row],[Ingreso]]-TablaIngresos[[#This Row],[Total Impuesto]]</f>
        <v>5082032.45</v>
      </c>
    </row>
    <row r="132" spans="2:11" s="9" customFormat="1" ht="20.100000000000001" customHeight="1" x14ac:dyDescent="0.25">
      <c r="B132" s="140">
        <v>45637</v>
      </c>
      <c r="C132" s="128" t="str">
        <f>IF(Ingresos!$B132="","",TEXT(Ingresos!$B132,"MMMM" ))</f>
        <v>diciembre</v>
      </c>
      <c r="D132" s="16" t="s">
        <v>134</v>
      </c>
      <c r="E132" s="17"/>
      <c r="F132" s="16" t="s">
        <v>147</v>
      </c>
      <c r="G132" s="18">
        <v>720449.43</v>
      </c>
      <c r="H132" s="16"/>
      <c r="I132" s="19">
        <f>IF(TablaIngresos[[#This Row],[Impuesto]]="Si",Configuración!$B$20,0)</f>
        <v>0</v>
      </c>
      <c r="J132" s="22">
        <f>TablaIngresos[[#This Row],[Ingreso]]*TablaIngresos[[#This Row],[% de Impuesto]]</f>
        <v>0</v>
      </c>
      <c r="K132" s="22">
        <f>TablaIngresos[[#This Row],[Ingreso]]-TablaIngresos[[#This Row],[Total Impuesto]]</f>
        <v>720449.43</v>
      </c>
    </row>
    <row r="133" spans="2:11" s="9" customFormat="1" ht="20.100000000000001" customHeight="1" x14ac:dyDescent="0.25">
      <c r="B133" s="140">
        <v>45638</v>
      </c>
      <c r="C133" s="128" t="str">
        <f>IF(Ingresos!$B133="","",TEXT(Ingresos!$B133,"MMMM" ))</f>
        <v>diciembre</v>
      </c>
      <c r="D133" s="16" t="s">
        <v>134</v>
      </c>
      <c r="E133" s="17"/>
      <c r="F133" s="16" t="s">
        <v>147</v>
      </c>
      <c r="G133" s="18">
        <v>826268.91</v>
      </c>
      <c r="H133" s="16"/>
      <c r="I133" s="19">
        <f>IF(TablaIngresos[[#This Row],[Impuesto]]="Si",Configuración!$B$20,0)</f>
        <v>0</v>
      </c>
      <c r="J133" s="22">
        <f>TablaIngresos[[#This Row],[Ingreso]]*TablaIngresos[[#This Row],[% de Impuesto]]</f>
        <v>0</v>
      </c>
      <c r="K133" s="22">
        <f>TablaIngresos[[#This Row],[Ingreso]]-TablaIngresos[[#This Row],[Total Impuesto]]</f>
        <v>826268.91</v>
      </c>
    </row>
    <row r="134" spans="2:11" s="9" customFormat="1" ht="20.100000000000001" customHeight="1" x14ac:dyDescent="0.25">
      <c r="B134" s="140">
        <v>45639</v>
      </c>
      <c r="C134" s="128" t="str">
        <f>IF(Ingresos!$B134="","",TEXT(Ingresos!$B134,"MMMM" ))</f>
        <v>diciembre</v>
      </c>
      <c r="D134" s="16" t="s">
        <v>134</v>
      </c>
      <c r="E134" s="17"/>
      <c r="F134" s="16" t="s">
        <v>147</v>
      </c>
      <c r="G134" s="18">
        <v>844364.08</v>
      </c>
      <c r="H134" s="16"/>
      <c r="I134" s="19">
        <f>IF(TablaIngresos[[#This Row],[Impuesto]]="Si",Configuración!$B$20,0)</f>
        <v>0</v>
      </c>
      <c r="J134" s="22">
        <f>TablaIngresos[[#This Row],[Ingreso]]*TablaIngresos[[#This Row],[% de Impuesto]]</f>
        <v>0</v>
      </c>
      <c r="K134" s="22">
        <f>TablaIngresos[[#This Row],[Ingreso]]-TablaIngresos[[#This Row],[Total Impuesto]]</f>
        <v>844364.08</v>
      </c>
    </row>
    <row r="135" spans="2:11" s="9" customFormat="1" ht="20.100000000000001" customHeight="1" x14ac:dyDescent="0.25">
      <c r="B135" s="140">
        <v>45642</v>
      </c>
      <c r="C135" s="128" t="str">
        <f>IF(Ingresos!$B135="","",TEXT(Ingresos!$B135,"MMMM" ))</f>
        <v>diciembre</v>
      </c>
      <c r="D135" s="16" t="s">
        <v>134</v>
      </c>
      <c r="E135" s="17"/>
      <c r="F135" s="16" t="s">
        <v>147</v>
      </c>
      <c r="G135" s="18">
        <v>3342006.15</v>
      </c>
      <c r="H135" s="16"/>
      <c r="I135" s="19">
        <f>IF(TablaIngresos[[#This Row],[Impuesto]]="Si",Configuración!$B$20,0)</f>
        <v>0</v>
      </c>
      <c r="J135" s="22">
        <f>TablaIngresos[[#This Row],[Ingreso]]*TablaIngresos[[#This Row],[% de Impuesto]]</f>
        <v>0</v>
      </c>
      <c r="K135" s="22">
        <f>TablaIngresos[[#This Row],[Ingreso]]-TablaIngresos[[#This Row],[Total Impuesto]]</f>
        <v>3342006.15</v>
      </c>
    </row>
    <row r="136" spans="2:11" s="9" customFormat="1" ht="20.100000000000001" customHeight="1" x14ac:dyDescent="0.25">
      <c r="B136" s="140">
        <v>45643</v>
      </c>
      <c r="C136" s="128" t="str">
        <f>IF(Ingresos!$B136="","",TEXT(Ingresos!$B136,"MMMM" ))</f>
        <v>diciembre</v>
      </c>
      <c r="D136" s="16" t="s">
        <v>134</v>
      </c>
      <c r="E136" s="17"/>
      <c r="F136" s="16" t="s">
        <v>147</v>
      </c>
      <c r="G136" s="18">
        <v>4807486.12</v>
      </c>
      <c r="H136" s="16"/>
      <c r="I136" s="19">
        <f>IF(TablaIngresos[[#This Row],[Impuesto]]="Si",Configuración!$B$20,0)</f>
        <v>0</v>
      </c>
      <c r="J136" s="22">
        <f>TablaIngresos[[#This Row],[Ingreso]]*TablaIngresos[[#This Row],[% de Impuesto]]</f>
        <v>0</v>
      </c>
      <c r="K136" s="22">
        <f>TablaIngresos[[#This Row],[Ingreso]]-TablaIngresos[[#This Row],[Total Impuesto]]</f>
        <v>4807486.12</v>
      </c>
    </row>
    <row r="137" spans="2:11" s="9" customFormat="1" ht="20.100000000000001" customHeight="1" x14ac:dyDescent="0.25">
      <c r="B137" s="140">
        <v>45628</v>
      </c>
      <c r="C137" s="128" t="str">
        <f>IF(Ingresos!$B137="","",TEXT(Ingresos!$B137,"MMMM" ))</f>
        <v>diciembre</v>
      </c>
      <c r="D137" s="16" t="s">
        <v>435</v>
      </c>
      <c r="E137" s="17"/>
      <c r="F137" s="16" t="s">
        <v>147</v>
      </c>
      <c r="G137" s="18">
        <v>1172094.67</v>
      </c>
      <c r="H137" s="16"/>
      <c r="I137" s="19">
        <f>IF(TablaIngresos[[#This Row],[Impuesto]]="Si",Configuración!$B$20,0)</f>
        <v>0</v>
      </c>
      <c r="J137" s="22">
        <f>TablaIngresos[[#This Row],[Ingreso]]*TablaIngresos[[#This Row],[% de Impuesto]]</f>
        <v>0</v>
      </c>
      <c r="K137" s="22">
        <f>TablaIngresos[[#This Row],[Ingreso]]-TablaIngresos[[#This Row],[Total Impuesto]]</f>
        <v>1172094.67</v>
      </c>
    </row>
    <row r="138" spans="2:11" s="9" customFormat="1" ht="20.100000000000001" customHeight="1" x14ac:dyDescent="0.25">
      <c r="B138" s="140">
        <v>45629</v>
      </c>
      <c r="C138" s="128" t="str">
        <f>IF(Ingresos!$B138="","",TEXT(Ingresos!$B138,"MMMM" ))</f>
        <v>diciembre</v>
      </c>
      <c r="D138" s="16" t="s">
        <v>435</v>
      </c>
      <c r="E138" s="17"/>
      <c r="F138" s="16" t="s">
        <v>147</v>
      </c>
      <c r="G138" s="18">
        <v>244944.58</v>
      </c>
      <c r="H138" s="16"/>
      <c r="I138" s="19">
        <f>IF(TablaIngresos[[#This Row],[Impuesto]]="Si",Configuración!$B$20,0)</f>
        <v>0</v>
      </c>
      <c r="J138" s="22">
        <f>TablaIngresos[[#This Row],[Ingreso]]*TablaIngresos[[#This Row],[% de Impuesto]]</f>
        <v>0</v>
      </c>
      <c r="K138" s="22">
        <f>TablaIngresos[[#This Row],[Ingreso]]-TablaIngresos[[#This Row],[Total Impuesto]]</f>
        <v>244944.58</v>
      </c>
    </row>
    <row r="139" spans="2:11" s="9" customFormat="1" ht="20.100000000000001" customHeight="1" x14ac:dyDescent="0.25">
      <c r="B139" s="140">
        <v>45630</v>
      </c>
      <c r="C139" s="128" t="str">
        <f>IF(Ingresos!$B139="","",TEXT(Ingresos!$B139,"MMMM" ))</f>
        <v>diciembre</v>
      </c>
      <c r="D139" s="16" t="s">
        <v>435</v>
      </c>
      <c r="E139" s="17"/>
      <c r="F139" s="16" t="s">
        <v>147</v>
      </c>
      <c r="G139" s="18">
        <v>423659.19</v>
      </c>
      <c r="H139" s="16"/>
      <c r="I139" s="19">
        <f>IF(TablaIngresos[[#This Row],[Impuesto]]="Si",Configuración!$B$20,0)</f>
        <v>0</v>
      </c>
      <c r="J139" s="22">
        <f>TablaIngresos[[#This Row],[Ingreso]]*TablaIngresos[[#This Row],[% de Impuesto]]</f>
        <v>0</v>
      </c>
      <c r="K139" s="22">
        <f>TablaIngresos[[#This Row],[Ingreso]]-TablaIngresos[[#This Row],[Total Impuesto]]</f>
        <v>423659.19</v>
      </c>
    </row>
    <row r="140" spans="2:11" s="9" customFormat="1" ht="20.100000000000001" customHeight="1" x14ac:dyDescent="0.25">
      <c r="B140" s="140">
        <v>45631</v>
      </c>
      <c r="C140" s="128" t="str">
        <f>IF(Ingresos!$B140="","",TEXT(Ingresos!$B140,"MMMM" ))</f>
        <v>diciembre</v>
      </c>
      <c r="D140" s="16" t="s">
        <v>435</v>
      </c>
      <c r="E140" s="17"/>
      <c r="F140" s="16" t="s">
        <v>147</v>
      </c>
      <c r="G140" s="18">
        <v>853396.57</v>
      </c>
      <c r="H140" s="16"/>
      <c r="I140" s="19">
        <f>IF(TablaIngresos[[#This Row],[Impuesto]]="Si",Configuración!$B$20,0)</f>
        <v>0</v>
      </c>
      <c r="J140" s="22">
        <f>TablaIngresos[[#This Row],[Ingreso]]*TablaIngresos[[#This Row],[% de Impuesto]]</f>
        <v>0</v>
      </c>
      <c r="K140" s="22">
        <f>TablaIngresos[[#This Row],[Ingreso]]-TablaIngresos[[#This Row],[Total Impuesto]]</f>
        <v>853396.57</v>
      </c>
    </row>
    <row r="141" spans="2:11" s="9" customFormat="1" ht="20.100000000000001" customHeight="1" x14ac:dyDescent="0.25">
      <c r="B141" s="140">
        <v>45632</v>
      </c>
      <c r="C141" s="128" t="str">
        <f>IF(Ingresos!$B141="","",TEXT(Ingresos!$B141,"MMMM" ))</f>
        <v>diciembre</v>
      </c>
      <c r="D141" s="16" t="s">
        <v>435</v>
      </c>
      <c r="E141" s="17"/>
      <c r="F141" s="16" t="s">
        <v>147</v>
      </c>
      <c r="G141" s="18">
        <v>713489.01</v>
      </c>
      <c r="H141" s="16"/>
      <c r="I141" s="19">
        <f>IF(TablaIngresos[[#This Row],[Impuesto]]="Si",Configuración!$B$20,0)</f>
        <v>0</v>
      </c>
      <c r="J141" s="22">
        <f>TablaIngresos[[#This Row],[Ingreso]]*TablaIngresos[[#This Row],[% de Impuesto]]</f>
        <v>0</v>
      </c>
      <c r="K141" s="22">
        <f>TablaIngresos[[#This Row],[Ingreso]]-TablaIngresos[[#This Row],[Total Impuesto]]</f>
        <v>713489.01</v>
      </c>
    </row>
    <row r="142" spans="2:11" s="9" customFormat="1" ht="20.100000000000001" customHeight="1" x14ac:dyDescent="0.25">
      <c r="B142" s="140">
        <v>45635</v>
      </c>
      <c r="C142" s="128" t="str">
        <f>IF(Ingresos!$B142="","",TEXT(Ingresos!$B142,"MMMM" ))</f>
        <v>diciembre</v>
      </c>
      <c r="D142" s="16" t="s">
        <v>435</v>
      </c>
      <c r="E142" s="17"/>
      <c r="F142" s="16" t="s">
        <v>147</v>
      </c>
      <c r="G142" s="18">
        <v>871783.23</v>
      </c>
      <c r="H142" s="16"/>
      <c r="I142" s="19">
        <f>IF(TablaIngresos[[#This Row],[Impuesto]]="Si",Configuración!$B$20,0)</f>
        <v>0</v>
      </c>
      <c r="J142" s="22">
        <f>TablaIngresos[[#This Row],[Ingreso]]*TablaIngresos[[#This Row],[% de Impuesto]]</f>
        <v>0</v>
      </c>
      <c r="K142" s="22">
        <f>TablaIngresos[[#This Row],[Ingreso]]-TablaIngresos[[#This Row],[Total Impuesto]]</f>
        <v>871783.23</v>
      </c>
    </row>
    <row r="143" spans="2:11" s="9" customFormat="1" ht="20.100000000000001" customHeight="1" x14ac:dyDescent="0.25">
      <c r="B143" s="140">
        <v>45636</v>
      </c>
      <c r="C143" s="128" t="str">
        <f>IF(Ingresos!$B143="","",TEXT(Ingresos!$B143,"MMMM" ))</f>
        <v>diciembre</v>
      </c>
      <c r="D143" s="16" t="s">
        <v>435</v>
      </c>
      <c r="E143" s="17"/>
      <c r="F143" s="16" t="s">
        <v>147</v>
      </c>
      <c r="G143" s="18">
        <v>376372.16</v>
      </c>
      <c r="H143" s="16"/>
      <c r="I143" s="19">
        <f>IF(TablaIngresos[[#This Row],[Impuesto]]="Si",Configuración!$B$20,0)</f>
        <v>0</v>
      </c>
      <c r="J143" s="22">
        <f>TablaIngresos[[#This Row],[Ingreso]]*TablaIngresos[[#This Row],[% de Impuesto]]</f>
        <v>0</v>
      </c>
      <c r="K143" s="22">
        <f>TablaIngresos[[#This Row],[Ingreso]]-TablaIngresos[[#This Row],[Total Impuesto]]</f>
        <v>376372.16</v>
      </c>
    </row>
    <row r="144" spans="2:11" s="9" customFormat="1" ht="20.100000000000001" customHeight="1" x14ac:dyDescent="0.25">
      <c r="B144" s="140">
        <v>45637</v>
      </c>
      <c r="C144" s="128" t="str">
        <f>IF(Ingresos!$B144="","",TEXT(Ingresos!$B144,"MMMM" ))</f>
        <v>diciembre</v>
      </c>
      <c r="D144" s="16" t="s">
        <v>435</v>
      </c>
      <c r="E144" s="17"/>
      <c r="F144" s="16" t="s">
        <v>147</v>
      </c>
      <c r="G144" s="18">
        <v>322304.75</v>
      </c>
      <c r="H144" s="16"/>
      <c r="I144" s="19">
        <f>IF(TablaIngresos[[#This Row],[Impuesto]]="Si",Configuración!$B$20,0)</f>
        <v>0</v>
      </c>
      <c r="J144" s="22">
        <f>TablaIngresos[[#This Row],[Ingreso]]*TablaIngresos[[#This Row],[% de Impuesto]]</f>
        <v>0</v>
      </c>
      <c r="K144" s="22">
        <f>TablaIngresos[[#This Row],[Ingreso]]-TablaIngresos[[#This Row],[Total Impuesto]]</f>
        <v>322304.75</v>
      </c>
    </row>
    <row r="145" spans="2:11" s="9" customFormat="1" ht="20.100000000000001" customHeight="1" x14ac:dyDescent="0.25">
      <c r="B145" s="140">
        <v>45638</v>
      </c>
      <c r="C145" s="128" t="str">
        <f>IF(Ingresos!$B145="","",TEXT(Ingresos!$B145,"MMMM" ))</f>
        <v>diciembre</v>
      </c>
      <c r="D145" s="16" t="s">
        <v>435</v>
      </c>
      <c r="E145" s="17"/>
      <c r="F145" s="16" t="s">
        <v>147</v>
      </c>
      <c r="G145" s="18">
        <v>915380.95</v>
      </c>
      <c r="H145" s="16"/>
      <c r="I145" s="19">
        <f>IF(TablaIngresos[[#This Row],[Impuesto]]="Si",Configuración!$B$20,0)</f>
        <v>0</v>
      </c>
      <c r="J145" s="22">
        <f>TablaIngresos[[#This Row],[Ingreso]]*TablaIngresos[[#This Row],[% de Impuesto]]</f>
        <v>0</v>
      </c>
      <c r="K145" s="22">
        <f>TablaIngresos[[#This Row],[Ingreso]]-TablaIngresos[[#This Row],[Total Impuesto]]</f>
        <v>915380.95</v>
      </c>
    </row>
    <row r="146" spans="2:11" s="9" customFormat="1" ht="20.100000000000001" customHeight="1" x14ac:dyDescent="0.25">
      <c r="B146" s="140">
        <v>45639</v>
      </c>
      <c r="C146" s="128" t="str">
        <f>IF(Ingresos!$B146="","",TEXT(Ingresos!$B146,"MMMM" ))</f>
        <v>diciembre</v>
      </c>
      <c r="D146" s="16" t="s">
        <v>435</v>
      </c>
      <c r="E146" s="17"/>
      <c r="F146" s="16" t="s">
        <v>147</v>
      </c>
      <c r="G146" s="18">
        <v>605370.65</v>
      </c>
      <c r="H146" s="16"/>
      <c r="I146" s="19">
        <f>IF(TablaIngresos[[#This Row],[Impuesto]]="Si",Configuración!$B$20,0)</f>
        <v>0</v>
      </c>
      <c r="J146" s="22">
        <f>TablaIngresos[[#This Row],[Ingreso]]*TablaIngresos[[#This Row],[% de Impuesto]]</f>
        <v>0</v>
      </c>
      <c r="K146" s="22">
        <f>TablaIngresos[[#This Row],[Ingreso]]-TablaIngresos[[#This Row],[Total Impuesto]]</f>
        <v>605370.65</v>
      </c>
    </row>
    <row r="147" spans="2:11" s="9" customFormat="1" ht="20.100000000000001" customHeight="1" x14ac:dyDescent="0.25">
      <c r="B147" s="140">
        <v>45642</v>
      </c>
      <c r="C147" s="128" t="str">
        <f>IF(Ingresos!$B147="","",TEXT(Ingresos!$B147,"MMMM" ))</f>
        <v>diciembre</v>
      </c>
      <c r="D147" s="16" t="s">
        <v>435</v>
      </c>
      <c r="E147" s="17"/>
      <c r="F147" s="16" t="s">
        <v>147</v>
      </c>
      <c r="G147" s="18">
        <v>1368488.59</v>
      </c>
      <c r="H147" s="16"/>
      <c r="I147" s="19">
        <f>IF(TablaIngresos[[#This Row],[Impuesto]]="Si",Configuración!$B$20,0)</f>
        <v>0</v>
      </c>
      <c r="J147" s="22">
        <f>TablaIngresos[[#This Row],[Ingreso]]*TablaIngresos[[#This Row],[% de Impuesto]]</f>
        <v>0</v>
      </c>
      <c r="K147" s="22">
        <f>TablaIngresos[[#This Row],[Ingreso]]-TablaIngresos[[#This Row],[Total Impuesto]]</f>
        <v>1368488.59</v>
      </c>
    </row>
    <row r="148" spans="2:11" s="9" customFormat="1" ht="20.100000000000001" customHeight="1" x14ac:dyDescent="0.25">
      <c r="B148" s="140">
        <v>45643</v>
      </c>
      <c r="C148" s="128" t="str">
        <f>IF(Ingresos!$B148="","",TEXT(Ingresos!$B148,"MMMM" ))</f>
        <v>diciembre</v>
      </c>
      <c r="D148" s="16" t="s">
        <v>435</v>
      </c>
      <c r="E148" s="17"/>
      <c r="F148" s="16" t="s">
        <v>147</v>
      </c>
      <c r="G148" s="18">
        <v>1185870.8</v>
      </c>
      <c r="H148" s="16"/>
      <c r="I148" s="19">
        <f>IF(TablaIngresos[[#This Row],[Impuesto]]="Si",Configuración!$B$20,0)</f>
        <v>0</v>
      </c>
      <c r="J148" s="22">
        <f>TablaIngresos[[#This Row],[Ingreso]]*TablaIngresos[[#This Row],[% de Impuesto]]</f>
        <v>0</v>
      </c>
      <c r="K148" s="22">
        <f>TablaIngresos[[#This Row],[Ingreso]]-TablaIngresos[[#This Row],[Total Impuesto]]</f>
        <v>1185870.8</v>
      </c>
    </row>
    <row r="149" spans="2:11" s="9" customFormat="1" ht="20.100000000000001" customHeight="1" x14ac:dyDescent="0.25">
      <c r="B149" s="140">
        <v>45644</v>
      </c>
      <c r="C149" s="128" t="str">
        <f>IF(Ingresos!$B149="","",TEXT(Ingresos!$B149,"MMMM" ))</f>
        <v>diciembre</v>
      </c>
      <c r="D149" s="16" t="s">
        <v>131</v>
      </c>
      <c r="E149" s="150">
        <v>1000000</v>
      </c>
      <c r="F149" s="16" t="s">
        <v>118</v>
      </c>
      <c r="G149" s="18">
        <v>0</v>
      </c>
      <c r="H149" s="16"/>
      <c r="I149" s="19">
        <f>IF(TablaIngresos[[#This Row],[Impuesto]]="Si",Configuración!$B$20,0)</f>
        <v>0</v>
      </c>
      <c r="J149" s="22">
        <f>TablaIngresos[[#This Row],[Ingreso]]*TablaIngresos[[#This Row],[% de Impuesto]]</f>
        <v>0</v>
      </c>
      <c r="K149" s="22">
        <f>TablaIngresos[[#This Row],[Ingreso]]-TablaIngresos[[#This Row],[Total Impuesto]]</f>
        <v>0</v>
      </c>
    </row>
    <row r="150" spans="2:11" s="9" customFormat="1" ht="20.100000000000001" customHeight="1" x14ac:dyDescent="0.25">
      <c r="B150" s="140">
        <v>45645</v>
      </c>
      <c r="C150" s="128" t="str">
        <f>IF(Ingresos!$B150="","",TEXT(Ingresos!$B150,"MMMM" ))</f>
        <v>diciembre</v>
      </c>
      <c r="D150" s="16" t="s">
        <v>131</v>
      </c>
      <c r="E150" s="17" t="s">
        <v>481</v>
      </c>
      <c r="F150" s="16" t="s">
        <v>118</v>
      </c>
      <c r="G150" s="18">
        <v>0</v>
      </c>
      <c r="H150" s="16"/>
      <c r="I150" s="19">
        <f>IF(TablaIngresos[[#This Row],[Impuesto]]="Si",Configuración!$B$20,0)</f>
        <v>0</v>
      </c>
      <c r="J150" s="22">
        <f>TablaIngresos[[#This Row],[Ingreso]]*TablaIngresos[[#This Row],[% de Impuesto]]</f>
        <v>0</v>
      </c>
      <c r="K150" s="22">
        <f>TablaIngresos[[#This Row],[Ingreso]]-TablaIngresos[[#This Row],[Total Impuesto]]</f>
        <v>0</v>
      </c>
    </row>
    <row r="151" spans="2:11" s="9" customFormat="1" ht="20.100000000000001" customHeight="1" x14ac:dyDescent="0.25">
      <c r="B151" s="140">
        <v>45645</v>
      </c>
      <c r="C151" s="128" t="str">
        <f>IF(Ingresos!$B151="","",TEXT(Ingresos!$B151,"MMMM" ))</f>
        <v>diciembre</v>
      </c>
      <c r="D151" s="16" t="s">
        <v>129</v>
      </c>
      <c r="E151" s="17"/>
      <c r="F151" s="16" t="s">
        <v>12</v>
      </c>
      <c r="G151" s="18">
        <v>282514.78999999998</v>
      </c>
      <c r="H151" s="16"/>
      <c r="I151" s="19">
        <f>IF(TablaIngresos[[#This Row],[Impuesto]]="Si",Configuración!$B$20,0)</f>
        <v>0</v>
      </c>
      <c r="J151" s="22">
        <f>TablaIngresos[[#This Row],[Ingreso]]*TablaIngresos[[#This Row],[% de Impuesto]]</f>
        <v>0</v>
      </c>
      <c r="K151" s="22">
        <f>TablaIngresos[[#This Row],[Ingreso]]-TablaIngresos[[#This Row],[Total Impuesto]]</f>
        <v>282514.78999999998</v>
      </c>
    </row>
    <row r="152" spans="2:11" s="9" customFormat="1" ht="20.100000000000001" customHeight="1" x14ac:dyDescent="0.25">
      <c r="B152" s="140">
        <v>45644</v>
      </c>
      <c r="C152" s="128" t="str">
        <f>IF(Ingresos!$B152="","",TEXT(Ingresos!$B152,"MMMM" ))</f>
        <v>diciembre</v>
      </c>
      <c r="D152" s="16" t="s">
        <v>126</v>
      </c>
      <c r="E152" s="17"/>
      <c r="F152" s="16" t="s">
        <v>12</v>
      </c>
      <c r="G152" s="18">
        <v>453219.75</v>
      </c>
      <c r="H152" s="16"/>
      <c r="I152" s="19">
        <f>IF(TablaIngresos[[#This Row],[Impuesto]]="Si",Configuración!$B$20,0)</f>
        <v>0</v>
      </c>
      <c r="J152" s="22">
        <f>TablaIngresos[[#This Row],[Ingreso]]*TablaIngresos[[#This Row],[% de Impuesto]]</f>
        <v>0</v>
      </c>
      <c r="K152" s="22">
        <f>TablaIngresos[[#This Row],[Ingreso]]-TablaIngresos[[#This Row],[Total Impuesto]]</f>
        <v>453219.75</v>
      </c>
    </row>
    <row r="153" spans="2:11" s="9" customFormat="1" ht="20.100000000000001" customHeight="1" x14ac:dyDescent="0.25">
      <c r="B153" s="140">
        <v>45644</v>
      </c>
      <c r="C153" s="128" t="str">
        <f>IF(Ingresos!$B153="","",TEXT(Ingresos!$B153,"MMMM" ))</f>
        <v>diciembre</v>
      </c>
      <c r="D153" s="16" t="s">
        <v>126</v>
      </c>
      <c r="E153" s="17"/>
      <c r="F153" s="16" t="s">
        <v>123</v>
      </c>
      <c r="G153" s="18">
        <v>1058538.0900000001</v>
      </c>
      <c r="H153" s="16"/>
      <c r="I153" s="19">
        <f>IF(TablaIngresos[[#This Row],[Impuesto]]="Si",Configuración!$B$20,0)</f>
        <v>0</v>
      </c>
      <c r="J153" s="22">
        <f>TablaIngresos[[#This Row],[Ingreso]]*TablaIngresos[[#This Row],[% de Impuesto]]</f>
        <v>0</v>
      </c>
      <c r="K153" s="22">
        <f>TablaIngresos[[#This Row],[Ingreso]]-TablaIngresos[[#This Row],[Total Impuesto]]</f>
        <v>1058538.0900000001</v>
      </c>
    </row>
    <row r="154" spans="2:11" s="9" customFormat="1" ht="20.100000000000001" customHeight="1" x14ac:dyDescent="0.25">
      <c r="B154" s="140">
        <v>45644</v>
      </c>
      <c r="C154" s="128" t="str">
        <f>IF(Ingresos!$B154="","",TEXT(Ingresos!$B154,"MMMM" ))</f>
        <v>diciembre</v>
      </c>
      <c r="D154" s="16" t="s">
        <v>130</v>
      </c>
      <c r="E154" s="17"/>
      <c r="F154" s="16" t="s">
        <v>12</v>
      </c>
      <c r="G154" s="18">
        <v>1298455.49</v>
      </c>
      <c r="H154" s="16"/>
      <c r="I154" s="19">
        <f>IF(TablaIngresos[[#This Row],[Impuesto]]="Si",Configuración!$B$20,0)</f>
        <v>0</v>
      </c>
      <c r="J154" s="22">
        <f>TablaIngresos[[#This Row],[Ingreso]]*TablaIngresos[[#This Row],[% de Impuesto]]</f>
        <v>0</v>
      </c>
      <c r="K154" s="22">
        <f>TablaIngresos[[#This Row],[Ingreso]]-TablaIngresos[[#This Row],[Total Impuesto]]</f>
        <v>1298455.49</v>
      </c>
    </row>
    <row r="155" spans="2:11" s="9" customFormat="1" ht="20.100000000000001" customHeight="1" x14ac:dyDescent="0.25">
      <c r="B155" s="140">
        <v>45644</v>
      </c>
      <c r="C155" s="128" t="str">
        <f>IF(Ingresos!$B155="","",TEXT(Ingresos!$B155,"MMMM" ))</f>
        <v>diciembre</v>
      </c>
      <c r="D155" s="16" t="s">
        <v>130</v>
      </c>
      <c r="E155" s="17"/>
      <c r="F155" s="16" t="s">
        <v>123</v>
      </c>
      <c r="G155" s="18">
        <v>3408623.22</v>
      </c>
      <c r="H155" s="16"/>
      <c r="I155" s="19">
        <f>IF(TablaIngresos[[#This Row],[Impuesto]]="Si",Configuración!$B$20,0)</f>
        <v>0</v>
      </c>
      <c r="J155" s="22">
        <f>TablaIngresos[[#This Row],[Ingreso]]*TablaIngresos[[#This Row],[% de Impuesto]]</f>
        <v>0</v>
      </c>
      <c r="K155" s="22">
        <f>TablaIngresos[[#This Row],[Ingreso]]-TablaIngresos[[#This Row],[Total Impuesto]]</f>
        <v>3408623.22</v>
      </c>
    </row>
    <row r="156" spans="2:11" s="9" customFormat="1" ht="20.100000000000001" customHeight="1" x14ac:dyDescent="0.25">
      <c r="B156" s="140">
        <v>45644</v>
      </c>
      <c r="C156" s="128" t="str">
        <f>IF(Ingresos!$B156="","",TEXT(Ingresos!$B156,"MMMM" ))</f>
        <v>diciembre</v>
      </c>
      <c r="D156" s="16" t="s">
        <v>127</v>
      </c>
      <c r="E156" s="17"/>
      <c r="F156" s="16" t="s">
        <v>12</v>
      </c>
      <c r="G156" s="18">
        <v>1914196.05</v>
      </c>
      <c r="H156" s="16"/>
      <c r="I156" s="19">
        <f>IF(TablaIngresos[[#This Row],[Impuesto]]="Si",Configuración!$B$20,0)</f>
        <v>0</v>
      </c>
      <c r="J156" s="22">
        <f>TablaIngresos[[#This Row],[Ingreso]]*TablaIngresos[[#This Row],[% de Impuesto]]</f>
        <v>0</v>
      </c>
      <c r="K156" s="22">
        <f>TablaIngresos[[#This Row],[Ingreso]]-TablaIngresos[[#This Row],[Total Impuesto]]</f>
        <v>1914196.05</v>
      </c>
    </row>
    <row r="157" spans="2:11" s="9" customFormat="1" ht="20.100000000000001" customHeight="1" x14ac:dyDescent="0.25">
      <c r="B157" s="140">
        <v>45644</v>
      </c>
      <c r="C157" s="128" t="str">
        <f>IF(Ingresos!$B157="","",TEXT(Ingresos!$B157,"MMMM" ))</f>
        <v>diciembre</v>
      </c>
      <c r="D157" s="16" t="s">
        <v>127</v>
      </c>
      <c r="E157" s="17"/>
      <c r="F157" s="16" t="s">
        <v>123</v>
      </c>
      <c r="G157" s="18">
        <v>2105510.7400000002</v>
      </c>
      <c r="H157" s="16"/>
      <c r="I157" s="19">
        <f>IF(TablaIngresos[[#This Row],[Impuesto]]="Si",Configuración!$B$20,0)</f>
        <v>0</v>
      </c>
      <c r="J157" s="22">
        <f>TablaIngresos[[#This Row],[Ingreso]]*TablaIngresos[[#This Row],[% de Impuesto]]</f>
        <v>0</v>
      </c>
      <c r="K157" s="22">
        <f>TablaIngresos[[#This Row],[Ingreso]]-TablaIngresos[[#This Row],[Total Impuesto]]</f>
        <v>2105510.7400000002</v>
      </c>
    </row>
    <row r="158" spans="2:11" s="9" customFormat="1" ht="20.100000000000001" customHeight="1" x14ac:dyDescent="0.25">
      <c r="B158" s="140">
        <v>45645</v>
      </c>
      <c r="C158" s="128" t="str">
        <f>IF(Ingresos!$B158="","",TEXT(Ingresos!$B158,"MMMM" ))</f>
        <v>diciembre</v>
      </c>
      <c r="D158" s="16" t="s">
        <v>126</v>
      </c>
      <c r="E158" s="17"/>
      <c r="F158" s="16" t="s">
        <v>12</v>
      </c>
      <c r="G158" s="18">
        <v>987704.84</v>
      </c>
      <c r="H158" s="16"/>
      <c r="I158" s="19">
        <f>IF(TablaIngresos[[#This Row],[Impuesto]]="Si",Configuración!$B$20,0)</f>
        <v>0</v>
      </c>
      <c r="J158" s="22">
        <f>TablaIngresos[[#This Row],[Ingreso]]*TablaIngresos[[#This Row],[% de Impuesto]]</f>
        <v>0</v>
      </c>
      <c r="K158" s="22">
        <f>TablaIngresos[[#This Row],[Ingreso]]-TablaIngresos[[#This Row],[Total Impuesto]]</f>
        <v>987704.84</v>
      </c>
    </row>
    <row r="159" spans="2:11" s="9" customFormat="1" ht="20.100000000000001" customHeight="1" x14ac:dyDescent="0.25">
      <c r="B159" s="140">
        <v>45645</v>
      </c>
      <c r="C159" s="128" t="str">
        <f>IF(Ingresos!$B159="","",TEXT(Ingresos!$B159,"MMMM" ))</f>
        <v>diciembre</v>
      </c>
      <c r="D159" s="16" t="s">
        <v>126</v>
      </c>
      <c r="E159" s="17"/>
      <c r="F159" s="16" t="s">
        <v>123</v>
      </c>
      <c r="G159" s="18">
        <v>1289128.82</v>
      </c>
      <c r="H159" s="16"/>
      <c r="I159" s="19">
        <f>IF(TablaIngresos[[#This Row],[Impuesto]]="Si",Configuración!$B$20,0)</f>
        <v>0</v>
      </c>
      <c r="J159" s="22">
        <f>TablaIngresos[[#This Row],[Ingreso]]*TablaIngresos[[#This Row],[% de Impuesto]]</f>
        <v>0</v>
      </c>
      <c r="K159" s="22">
        <f>TablaIngresos[[#This Row],[Ingreso]]-TablaIngresos[[#This Row],[Total Impuesto]]</f>
        <v>1289128.82</v>
      </c>
    </row>
    <row r="160" spans="2:11" s="9" customFormat="1" ht="20.100000000000001" customHeight="1" x14ac:dyDescent="0.25">
      <c r="B160" s="140">
        <v>45645</v>
      </c>
      <c r="C160" s="128" t="str">
        <f>IF(Ingresos!$B160="","",TEXT(Ingresos!$B160,"MMMM" ))</f>
        <v>diciembre</v>
      </c>
      <c r="D160" s="16" t="s">
        <v>130</v>
      </c>
      <c r="E160" s="17"/>
      <c r="F160" s="16" t="s">
        <v>12</v>
      </c>
      <c r="G160" s="18">
        <v>1085041.8899999999</v>
      </c>
      <c r="H160" s="16"/>
      <c r="I160" s="19">
        <f>IF(TablaIngresos[[#This Row],[Impuesto]]="Si",Configuración!$B$20,0)</f>
        <v>0</v>
      </c>
      <c r="J160" s="22">
        <f>TablaIngresos[[#This Row],[Ingreso]]*TablaIngresos[[#This Row],[% de Impuesto]]</f>
        <v>0</v>
      </c>
      <c r="K160" s="22">
        <f>TablaIngresos[[#This Row],[Ingreso]]-TablaIngresos[[#This Row],[Total Impuesto]]</f>
        <v>1085041.8899999999</v>
      </c>
    </row>
    <row r="161" spans="2:11" s="9" customFormat="1" ht="20.100000000000001" customHeight="1" x14ac:dyDescent="0.25">
      <c r="B161" s="140">
        <v>45645</v>
      </c>
      <c r="C161" s="128" t="str">
        <f>IF(Ingresos!$B161="","",TEXT(Ingresos!$B161,"MMMM" ))</f>
        <v>diciembre</v>
      </c>
      <c r="D161" s="16" t="s">
        <v>130</v>
      </c>
      <c r="E161" s="17"/>
      <c r="F161" s="16" t="s">
        <v>123</v>
      </c>
      <c r="G161" s="18">
        <v>2547438.33</v>
      </c>
      <c r="H161" s="16"/>
      <c r="I161" s="19">
        <f>IF(TablaIngresos[[#This Row],[Impuesto]]="Si",Configuración!$B$20,0)</f>
        <v>0</v>
      </c>
      <c r="J161" s="22">
        <f>TablaIngresos[[#This Row],[Ingreso]]*TablaIngresos[[#This Row],[% de Impuesto]]</f>
        <v>0</v>
      </c>
      <c r="K161" s="22">
        <f>TablaIngresos[[#This Row],[Ingreso]]-TablaIngresos[[#This Row],[Total Impuesto]]</f>
        <v>2547438.33</v>
      </c>
    </row>
    <row r="162" spans="2:11" s="9" customFormat="1" ht="20.100000000000001" customHeight="1" x14ac:dyDescent="0.25">
      <c r="B162" s="140">
        <v>45645</v>
      </c>
      <c r="C162" s="128" t="str">
        <f>IF(Ingresos!$B162="","",TEXT(Ingresos!$B162,"MMMM" ))</f>
        <v>diciembre</v>
      </c>
      <c r="D162" s="16" t="s">
        <v>127</v>
      </c>
      <c r="E162" s="17"/>
      <c r="F162" s="16" t="s">
        <v>12</v>
      </c>
      <c r="G162" s="18">
        <v>1214337.77</v>
      </c>
      <c r="H162" s="16"/>
      <c r="I162" s="19">
        <f>IF(TablaIngresos[[#This Row],[Impuesto]]="Si",Configuración!$B$20,0)</f>
        <v>0</v>
      </c>
      <c r="J162" s="22">
        <f>TablaIngresos[[#This Row],[Ingreso]]*TablaIngresos[[#This Row],[% de Impuesto]]</f>
        <v>0</v>
      </c>
      <c r="K162" s="22">
        <f>TablaIngresos[[#This Row],[Ingreso]]-TablaIngresos[[#This Row],[Total Impuesto]]</f>
        <v>1214337.77</v>
      </c>
    </row>
    <row r="163" spans="2:11" s="9" customFormat="1" ht="20.100000000000001" customHeight="1" x14ac:dyDescent="0.25">
      <c r="B163" s="140">
        <v>45645</v>
      </c>
      <c r="C163" s="128" t="str">
        <f>IF(Ingresos!$B163="","",TEXT(Ingresos!$B163,"MMMM" ))</f>
        <v>diciembre</v>
      </c>
      <c r="D163" s="16" t="s">
        <v>127</v>
      </c>
      <c r="E163" s="17"/>
      <c r="F163" s="16" t="s">
        <v>123</v>
      </c>
      <c r="G163" s="18">
        <v>2132438.84</v>
      </c>
      <c r="H163" s="16"/>
      <c r="I163" s="19">
        <f>IF(TablaIngresos[[#This Row],[Impuesto]]="Si",Configuración!$B$20,0)</f>
        <v>0</v>
      </c>
      <c r="J163" s="22">
        <f>TablaIngresos[[#This Row],[Ingreso]]*TablaIngresos[[#This Row],[% de Impuesto]]</f>
        <v>0</v>
      </c>
      <c r="K163" s="22">
        <f>TablaIngresos[[#This Row],[Ingreso]]-TablaIngresos[[#This Row],[Total Impuesto]]</f>
        <v>2132438.84</v>
      </c>
    </row>
    <row r="164" spans="2:11" s="9" customFormat="1" ht="20.100000000000001" customHeight="1" x14ac:dyDescent="0.25">
      <c r="B164" s="140">
        <v>45646</v>
      </c>
      <c r="C164" s="128" t="str">
        <f>IF(Ingresos!$B164="","",TEXT(Ingresos!$B164,"MMMM" ))</f>
        <v>diciembre</v>
      </c>
      <c r="D164" s="16" t="s">
        <v>127</v>
      </c>
      <c r="E164" s="17"/>
      <c r="F164" s="16" t="s">
        <v>12</v>
      </c>
      <c r="G164" s="18">
        <v>1489873.33</v>
      </c>
      <c r="H164" s="16"/>
      <c r="I164" s="19">
        <f>IF(TablaIngresos[[#This Row],[Impuesto]]="Si",Configuración!$B$20,0)</f>
        <v>0</v>
      </c>
      <c r="J164" s="22">
        <f>TablaIngresos[[#This Row],[Ingreso]]*TablaIngresos[[#This Row],[% de Impuesto]]</f>
        <v>0</v>
      </c>
      <c r="K164" s="22">
        <f>TablaIngresos[[#This Row],[Ingreso]]-TablaIngresos[[#This Row],[Total Impuesto]]</f>
        <v>1489873.33</v>
      </c>
    </row>
    <row r="165" spans="2:11" s="9" customFormat="1" ht="20.100000000000001" customHeight="1" x14ac:dyDescent="0.25">
      <c r="B165" s="140">
        <v>45646</v>
      </c>
      <c r="C165" s="128" t="str">
        <f>IF(Ingresos!$B165="","",TEXT(Ingresos!$B165,"MMMM" ))</f>
        <v>diciembre</v>
      </c>
      <c r="D165" s="16" t="s">
        <v>127</v>
      </c>
      <c r="E165" s="17"/>
      <c r="F165" s="16" t="s">
        <v>123</v>
      </c>
      <c r="G165" s="18">
        <v>4034008.55</v>
      </c>
      <c r="H165" s="16"/>
      <c r="I165" s="19">
        <f>IF(TablaIngresos[[#This Row],[Impuesto]]="Si",Configuración!$B$20,0)</f>
        <v>0</v>
      </c>
      <c r="J165" s="22">
        <f>TablaIngresos[[#This Row],[Ingreso]]*TablaIngresos[[#This Row],[% de Impuesto]]</f>
        <v>0</v>
      </c>
      <c r="K165" s="22">
        <f>TablaIngresos[[#This Row],[Ingreso]]-TablaIngresos[[#This Row],[Total Impuesto]]</f>
        <v>4034008.55</v>
      </c>
    </row>
    <row r="166" spans="2:11" s="9" customFormat="1" ht="20.100000000000001" customHeight="1" x14ac:dyDescent="0.25">
      <c r="B166" s="140">
        <v>45647</v>
      </c>
      <c r="C166" s="128" t="str">
        <f>IF(Ingresos!$B166="","",TEXT(Ingresos!$B166,"MMMM" ))</f>
        <v>diciembre</v>
      </c>
      <c r="D166" s="16" t="s">
        <v>127</v>
      </c>
      <c r="E166" s="17"/>
      <c r="F166" s="16" t="s">
        <v>12</v>
      </c>
      <c r="G166" s="18">
        <v>2428035.0499999998</v>
      </c>
      <c r="H166" s="16"/>
      <c r="I166" s="19">
        <f>IF(TablaIngresos[[#This Row],[Impuesto]]="Si",Configuración!$B$20,0)</f>
        <v>0</v>
      </c>
      <c r="J166" s="22">
        <f>TablaIngresos[[#This Row],[Ingreso]]*TablaIngresos[[#This Row],[% de Impuesto]]</f>
        <v>0</v>
      </c>
      <c r="K166" s="22">
        <f>TablaIngresos[[#This Row],[Ingreso]]-TablaIngresos[[#This Row],[Total Impuesto]]</f>
        <v>2428035.0499999998</v>
      </c>
    </row>
    <row r="167" spans="2:11" s="9" customFormat="1" ht="20.100000000000001" customHeight="1" x14ac:dyDescent="0.25">
      <c r="B167" s="140">
        <v>45647</v>
      </c>
      <c r="C167" s="128" t="str">
        <f>IF(Ingresos!$B167="","",TEXT(Ingresos!$B167,"MMMM" ))</f>
        <v>diciembre</v>
      </c>
      <c r="D167" s="16" t="s">
        <v>127</v>
      </c>
      <c r="E167" s="17"/>
      <c r="F167" s="16" t="s">
        <v>123</v>
      </c>
      <c r="G167" s="18">
        <v>5074023.5199999996</v>
      </c>
      <c r="H167" s="16"/>
      <c r="I167" s="19">
        <f>IF(TablaIngresos[[#This Row],[Impuesto]]="Si",Configuración!$B$20,0)</f>
        <v>0</v>
      </c>
      <c r="J167" s="22">
        <f>TablaIngresos[[#This Row],[Ingreso]]*TablaIngresos[[#This Row],[% de Impuesto]]</f>
        <v>0</v>
      </c>
      <c r="K167" s="22">
        <f>TablaIngresos[[#This Row],[Ingreso]]-TablaIngresos[[#This Row],[Total Impuesto]]</f>
        <v>5074023.5199999996</v>
      </c>
    </row>
    <row r="168" spans="2:11" s="9" customFormat="1" ht="20.100000000000001" customHeight="1" x14ac:dyDescent="0.25">
      <c r="B168" s="140">
        <v>45648</v>
      </c>
      <c r="C168" s="128" t="str">
        <f>IF(Ingresos!$B168="","",TEXT(Ingresos!$B168,"MMMM" ))</f>
        <v>diciembre</v>
      </c>
      <c r="D168" s="16" t="s">
        <v>127</v>
      </c>
      <c r="E168" s="17"/>
      <c r="F168" s="16" t="s">
        <v>12</v>
      </c>
      <c r="G168" s="18">
        <v>598602.59</v>
      </c>
      <c r="H168" s="16"/>
      <c r="I168" s="19">
        <f>IF(TablaIngresos[[#This Row],[Impuesto]]="Si",Configuración!$B$20,0)</f>
        <v>0</v>
      </c>
      <c r="J168" s="22">
        <f>TablaIngresos[[#This Row],[Ingreso]]*TablaIngresos[[#This Row],[% de Impuesto]]</f>
        <v>0</v>
      </c>
      <c r="K168" s="22">
        <f>TablaIngresos[[#This Row],[Ingreso]]-TablaIngresos[[#This Row],[Total Impuesto]]</f>
        <v>598602.59</v>
      </c>
    </row>
    <row r="169" spans="2:11" s="9" customFormat="1" ht="20.100000000000001" customHeight="1" x14ac:dyDescent="0.25">
      <c r="B169" s="140">
        <v>45648</v>
      </c>
      <c r="C169" s="128" t="str">
        <f>IF(Ingresos!$B169="","",TEXT(Ingresos!$B169,"MMMM" ))</f>
        <v>diciembre</v>
      </c>
      <c r="D169" s="16" t="s">
        <v>127</v>
      </c>
      <c r="E169" s="17"/>
      <c r="F169" s="16" t="s">
        <v>123</v>
      </c>
      <c r="G169" s="18">
        <v>2456277.7799999998</v>
      </c>
      <c r="H169" s="16"/>
      <c r="I169" s="19">
        <f>IF(TablaIngresos[[#This Row],[Impuesto]]="Si",Configuración!$B$20,0)</f>
        <v>0</v>
      </c>
      <c r="J169" s="22">
        <f>TablaIngresos[[#This Row],[Ingreso]]*TablaIngresos[[#This Row],[% de Impuesto]]</f>
        <v>0</v>
      </c>
      <c r="K169" s="22">
        <f>TablaIngresos[[#This Row],[Ingreso]]-TablaIngresos[[#This Row],[Total Impuesto]]</f>
        <v>2456277.7799999998</v>
      </c>
    </row>
    <row r="170" spans="2:11" s="9" customFormat="1" ht="20.100000000000001" customHeight="1" x14ac:dyDescent="0.25">
      <c r="B170" s="140">
        <v>45648</v>
      </c>
      <c r="C170" s="128" t="str">
        <f>IF(Ingresos!$B170="","",TEXT(Ingresos!$B170,"MMMM" ))</f>
        <v>diciembre</v>
      </c>
      <c r="D170" s="16" t="s">
        <v>130</v>
      </c>
      <c r="E170" s="17"/>
      <c r="F170" s="16" t="s">
        <v>12</v>
      </c>
      <c r="G170" s="18">
        <v>884422.32</v>
      </c>
      <c r="H170" s="16"/>
      <c r="I170" s="19">
        <f>IF(TablaIngresos[[#This Row],[Impuesto]]="Si",Configuración!$B$20,0)</f>
        <v>0</v>
      </c>
      <c r="J170" s="22">
        <f>TablaIngresos[[#This Row],[Ingreso]]*TablaIngresos[[#This Row],[% de Impuesto]]</f>
        <v>0</v>
      </c>
      <c r="K170" s="22">
        <f>TablaIngresos[[#This Row],[Ingreso]]-TablaIngresos[[#This Row],[Total Impuesto]]</f>
        <v>884422.32</v>
      </c>
    </row>
    <row r="171" spans="2:11" s="9" customFormat="1" ht="20.100000000000001" customHeight="1" x14ac:dyDescent="0.25">
      <c r="B171" s="140">
        <v>45648</v>
      </c>
      <c r="C171" s="128" t="str">
        <f>IF(Ingresos!$B171="","",TEXT(Ingresos!$B171,"MMMM" ))</f>
        <v>diciembre</v>
      </c>
      <c r="D171" s="16" t="s">
        <v>130</v>
      </c>
      <c r="E171" s="17"/>
      <c r="F171" s="16" t="s">
        <v>123</v>
      </c>
      <c r="G171" s="18">
        <v>2376956.4</v>
      </c>
      <c r="H171" s="16"/>
      <c r="I171" s="19">
        <f>IF(TablaIngresos[[#This Row],[Impuesto]]="Si",Configuración!$B$20,0)</f>
        <v>0</v>
      </c>
      <c r="J171" s="22">
        <f>TablaIngresos[[#This Row],[Ingreso]]*TablaIngresos[[#This Row],[% de Impuesto]]</f>
        <v>0</v>
      </c>
      <c r="K171" s="22">
        <f>TablaIngresos[[#This Row],[Ingreso]]-TablaIngresos[[#This Row],[Total Impuesto]]</f>
        <v>2376956.4</v>
      </c>
    </row>
    <row r="172" spans="2:11" s="9" customFormat="1" ht="20.100000000000001" customHeight="1" x14ac:dyDescent="0.25">
      <c r="B172" s="140">
        <v>45647</v>
      </c>
      <c r="C172" s="128" t="str">
        <f>IF(Ingresos!$B172="","",TEXT(Ingresos!$B172,"MMMM" ))</f>
        <v>diciembre</v>
      </c>
      <c r="D172" s="16" t="s">
        <v>130</v>
      </c>
      <c r="E172" s="17"/>
      <c r="F172" s="16" t="s">
        <v>12</v>
      </c>
      <c r="G172" s="18">
        <v>2961143.02</v>
      </c>
      <c r="H172" s="16"/>
      <c r="I172" s="19">
        <f>IF(TablaIngresos[[#This Row],[Impuesto]]="Si",Configuración!$B$20,0)</f>
        <v>0</v>
      </c>
      <c r="J172" s="22">
        <f>TablaIngresos[[#This Row],[Ingreso]]*TablaIngresos[[#This Row],[% de Impuesto]]</f>
        <v>0</v>
      </c>
      <c r="K172" s="22">
        <f>TablaIngresos[[#This Row],[Ingreso]]-TablaIngresos[[#This Row],[Total Impuesto]]</f>
        <v>2961143.02</v>
      </c>
    </row>
    <row r="173" spans="2:11" s="9" customFormat="1" ht="20.100000000000001" customHeight="1" x14ac:dyDescent="0.25">
      <c r="B173" s="140">
        <v>45647</v>
      </c>
      <c r="C173" s="128" t="str">
        <f>IF(Ingresos!$B173="","",TEXT(Ingresos!$B173,"MMMM" ))</f>
        <v>diciembre</v>
      </c>
      <c r="D173" s="16" t="s">
        <v>130</v>
      </c>
      <c r="E173" s="17"/>
      <c r="F173" s="16" t="s">
        <v>123</v>
      </c>
      <c r="G173" s="18">
        <v>5878071.5199999996</v>
      </c>
      <c r="H173" s="16"/>
      <c r="I173" s="19">
        <f>IF(TablaIngresos[[#This Row],[Impuesto]]="Si",Configuración!$B$20,0)</f>
        <v>0</v>
      </c>
      <c r="J173" s="22">
        <f>TablaIngresos[[#This Row],[Ingreso]]*TablaIngresos[[#This Row],[% de Impuesto]]</f>
        <v>0</v>
      </c>
      <c r="K173" s="22">
        <f>TablaIngresos[[#This Row],[Ingreso]]-TablaIngresos[[#This Row],[Total Impuesto]]</f>
        <v>5878071.5199999996</v>
      </c>
    </row>
    <row r="174" spans="2:11" s="9" customFormat="1" ht="20.100000000000001" customHeight="1" x14ac:dyDescent="0.25">
      <c r="B174" s="140">
        <v>45646</v>
      </c>
      <c r="C174" s="128" t="str">
        <f>IF(Ingresos!$B174="","",TEXT(Ingresos!$B174,"MMMM" ))</f>
        <v>diciembre</v>
      </c>
      <c r="D174" s="16" t="s">
        <v>130</v>
      </c>
      <c r="E174" s="17"/>
      <c r="F174" s="16" t="s">
        <v>12</v>
      </c>
      <c r="G174" s="18">
        <v>2261694.86</v>
      </c>
      <c r="H174" s="16"/>
      <c r="I174" s="19">
        <f>IF(TablaIngresos[[#This Row],[Impuesto]]="Si",Configuración!$B$20,0)</f>
        <v>0</v>
      </c>
      <c r="J174" s="22">
        <f>TablaIngresos[[#This Row],[Ingreso]]*TablaIngresos[[#This Row],[% de Impuesto]]</f>
        <v>0</v>
      </c>
      <c r="K174" s="22">
        <f>TablaIngresos[[#This Row],[Ingreso]]-TablaIngresos[[#This Row],[Total Impuesto]]</f>
        <v>2261694.86</v>
      </c>
    </row>
    <row r="175" spans="2:11" ht="20.100000000000001" customHeight="1" x14ac:dyDescent="0.25">
      <c r="B175" s="140">
        <v>45646</v>
      </c>
      <c r="C175" s="128" t="str">
        <f>IF(Ingresos!$B175="","",TEXT(Ingresos!$B175,"MMMM" ))</f>
        <v>diciembre</v>
      </c>
      <c r="D175" s="16" t="s">
        <v>130</v>
      </c>
      <c r="E175" s="17"/>
      <c r="F175" s="16" t="s">
        <v>123</v>
      </c>
      <c r="G175" s="18">
        <v>5203026.07</v>
      </c>
      <c r="H175" s="16"/>
      <c r="I175" s="19">
        <f>IF(TablaIngresos[[#This Row],[Impuesto]]="Si",Configuración!$B$20,0)</f>
        <v>0</v>
      </c>
      <c r="J175" s="22">
        <f>TablaIngresos[[#This Row],[Ingreso]]*TablaIngresos[[#This Row],[% de Impuesto]]</f>
        <v>0</v>
      </c>
      <c r="K175" s="22">
        <f>TablaIngresos[[#This Row],[Ingreso]]-TablaIngresos[[#This Row],[Total Impuesto]]</f>
        <v>5203026.07</v>
      </c>
    </row>
    <row r="176" spans="2:11" ht="20.100000000000001" customHeight="1" x14ac:dyDescent="0.25">
      <c r="B176" s="140">
        <v>45646</v>
      </c>
      <c r="C176" s="128" t="str">
        <f>IF(Ingresos!$B176="","",TEXT(Ingresos!$B176,"MMMM" ))</f>
        <v>diciembre</v>
      </c>
      <c r="D176" s="16" t="s">
        <v>126</v>
      </c>
      <c r="E176" s="17"/>
      <c r="F176" s="16" t="s">
        <v>12</v>
      </c>
      <c r="G176" s="18">
        <v>692930.25</v>
      </c>
      <c r="H176" s="16"/>
      <c r="I176" s="19">
        <f>IF(TablaIngresos[[#This Row],[Impuesto]]="Si",Configuración!$B$20,0)</f>
        <v>0</v>
      </c>
      <c r="J176" s="22">
        <f>TablaIngresos[[#This Row],[Ingreso]]*TablaIngresos[[#This Row],[% de Impuesto]]</f>
        <v>0</v>
      </c>
      <c r="K176" s="22">
        <f>TablaIngresos[[#This Row],[Ingreso]]-TablaIngresos[[#This Row],[Total Impuesto]]</f>
        <v>692930.25</v>
      </c>
    </row>
    <row r="177" spans="2:11" ht="20.100000000000001" customHeight="1" x14ac:dyDescent="0.25">
      <c r="B177" s="140">
        <v>45646</v>
      </c>
      <c r="C177" s="128" t="str">
        <f>IF(Ingresos!$B177="","",TEXT(Ingresos!$B177,"MMMM" ))</f>
        <v>diciembre</v>
      </c>
      <c r="D177" s="16" t="s">
        <v>126</v>
      </c>
      <c r="E177" s="17"/>
      <c r="F177" s="16" t="s">
        <v>123</v>
      </c>
      <c r="G177" s="18">
        <v>1795820.52</v>
      </c>
      <c r="H177" s="16"/>
      <c r="I177" s="19">
        <f>IF(TablaIngresos[[#This Row],[Impuesto]]="Si",Configuración!$B$20,0)</f>
        <v>0</v>
      </c>
      <c r="J177" s="22">
        <f>TablaIngresos[[#This Row],[Ingreso]]*TablaIngresos[[#This Row],[% de Impuesto]]</f>
        <v>0</v>
      </c>
      <c r="K177" s="22">
        <f>TablaIngresos[[#This Row],[Ingreso]]-TablaIngresos[[#This Row],[Total Impuesto]]</f>
        <v>1795820.52</v>
      </c>
    </row>
    <row r="178" spans="2:11" ht="20.100000000000001" customHeight="1" x14ac:dyDescent="0.25">
      <c r="B178" s="140">
        <v>45647</v>
      </c>
      <c r="C178" s="128" t="str">
        <f>IF(Ingresos!$B178="","",TEXT(Ingresos!$B178,"MMMM" ))</f>
        <v>diciembre</v>
      </c>
      <c r="D178" s="16" t="s">
        <v>126</v>
      </c>
      <c r="E178" s="17"/>
      <c r="F178" s="16" t="s">
        <v>12</v>
      </c>
      <c r="G178" s="18">
        <v>1104913.44</v>
      </c>
      <c r="H178" s="16"/>
      <c r="I178" s="19">
        <f>IF(TablaIngresos[[#This Row],[Impuesto]]="Si",Configuración!$B$20,0)</f>
        <v>0</v>
      </c>
      <c r="J178" s="22">
        <f>TablaIngresos[[#This Row],[Ingreso]]*TablaIngresos[[#This Row],[% de Impuesto]]</f>
        <v>0</v>
      </c>
      <c r="K178" s="22">
        <f>TablaIngresos[[#This Row],[Ingreso]]-TablaIngresos[[#This Row],[Total Impuesto]]</f>
        <v>1104913.44</v>
      </c>
    </row>
    <row r="179" spans="2:11" ht="20.100000000000001" customHeight="1" x14ac:dyDescent="0.25">
      <c r="B179" s="140">
        <v>45647</v>
      </c>
      <c r="C179" s="128" t="str">
        <f>IF(Ingresos!$B179="","",TEXT(Ingresos!$B179,"MMMM" ))</f>
        <v>diciembre</v>
      </c>
      <c r="D179" s="16" t="s">
        <v>126</v>
      </c>
      <c r="E179" s="17"/>
      <c r="F179" s="16" t="s">
        <v>123</v>
      </c>
      <c r="G179" s="18">
        <v>1888841.35</v>
      </c>
      <c r="H179" s="16"/>
      <c r="I179" s="19">
        <f>IF(TablaIngresos[[#This Row],[Impuesto]]="Si",Configuración!$B$20,0)</f>
        <v>0</v>
      </c>
      <c r="J179" s="22">
        <f>TablaIngresos[[#This Row],[Ingreso]]*TablaIngresos[[#This Row],[% de Impuesto]]</f>
        <v>0</v>
      </c>
      <c r="K179" s="22">
        <f>TablaIngresos[[#This Row],[Ingreso]]-TablaIngresos[[#This Row],[Total Impuesto]]</f>
        <v>1888841.35</v>
      </c>
    </row>
    <row r="180" spans="2:11" ht="20.100000000000001" customHeight="1" x14ac:dyDescent="0.25">
      <c r="B180" s="140">
        <v>45648</v>
      </c>
      <c r="C180" s="128" t="str">
        <f>IF(Ingresos!$B180="","",TEXT(Ingresos!$B180,"MMMM" ))</f>
        <v>diciembre</v>
      </c>
      <c r="D180" s="16" t="s">
        <v>126</v>
      </c>
      <c r="E180" s="17"/>
      <c r="F180" s="16" t="s">
        <v>12</v>
      </c>
      <c r="G180" s="18">
        <v>487944.23</v>
      </c>
      <c r="H180" s="16"/>
      <c r="I180" s="19">
        <f>IF(TablaIngresos[[#This Row],[Impuesto]]="Si",Configuración!$B$20,0)</f>
        <v>0</v>
      </c>
      <c r="J180" s="22">
        <f>TablaIngresos[[#This Row],[Ingreso]]*TablaIngresos[[#This Row],[% de Impuesto]]</f>
        <v>0</v>
      </c>
      <c r="K180" s="22">
        <f>TablaIngresos[[#This Row],[Ingreso]]-TablaIngresos[[#This Row],[Total Impuesto]]</f>
        <v>487944.23</v>
      </c>
    </row>
    <row r="181" spans="2:11" ht="20.100000000000001" customHeight="1" x14ac:dyDescent="0.25">
      <c r="B181" s="140">
        <v>45648</v>
      </c>
      <c r="C181" s="128" t="str">
        <f>IF(Ingresos!$B181="","",TEXT(Ingresos!$B181,"MMMM" ))</f>
        <v>diciembre</v>
      </c>
      <c r="D181" s="16" t="s">
        <v>126</v>
      </c>
      <c r="E181" s="17"/>
      <c r="F181" s="16" t="s">
        <v>123</v>
      </c>
      <c r="G181" s="18">
        <v>822179.26</v>
      </c>
      <c r="H181" s="16"/>
      <c r="I181" s="19">
        <f>IF(TablaIngresos[[#This Row],[Impuesto]]="Si",Configuración!$B$20,0)</f>
        <v>0</v>
      </c>
      <c r="J181" s="22">
        <f>TablaIngresos[[#This Row],[Ingreso]]*TablaIngresos[[#This Row],[% de Impuesto]]</f>
        <v>0</v>
      </c>
      <c r="K181" s="22">
        <f>TablaIngresos[[#This Row],[Ingreso]]-TablaIngresos[[#This Row],[Total Impuesto]]</f>
        <v>822179.26</v>
      </c>
    </row>
    <row r="182" spans="2:11" ht="20.100000000000001" customHeight="1" x14ac:dyDescent="0.25">
      <c r="B182" s="140">
        <v>45649</v>
      </c>
      <c r="C182" s="128" t="str">
        <f>IF(Ingresos!$B182="","",TEXT(Ingresos!$B182,"MMMM" ))</f>
        <v>diciembre</v>
      </c>
      <c r="D182" s="16" t="s">
        <v>127</v>
      </c>
      <c r="E182" s="17"/>
      <c r="F182" s="16" t="s">
        <v>12</v>
      </c>
      <c r="G182" s="18">
        <v>2938153.16</v>
      </c>
      <c r="H182" s="16"/>
      <c r="I182" s="19">
        <f>IF(TablaIngresos[[#This Row],[Impuesto]]="Si",Configuración!$B$20,0)</f>
        <v>0</v>
      </c>
      <c r="J182" s="22">
        <f>TablaIngresos[[#This Row],[Ingreso]]*TablaIngresos[[#This Row],[% de Impuesto]]</f>
        <v>0</v>
      </c>
      <c r="K182" s="22">
        <f>TablaIngresos[[#This Row],[Ingreso]]-TablaIngresos[[#This Row],[Total Impuesto]]</f>
        <v>2938153.16</v>
      </c>
    </row>
    <row r="183" spans="2:11" ht="20.100000000000001" customHeight="1" x14ac:dyDescent="0.25">
      <c r="B183" s="140">
        <v>45649</v>
      </c>
      <c r="C183" s="128" t="str">
        <f>IF(Ingresos!$B183="","",TEXT(Ingresos!$B183,"MMMM" ))</f>
        <v>diciembre</v>
      </c>
      <c r="D183" s="16" t="s">
        <v>127</v>
      </c>
      <c r="E183" s="17"/>
      <c r="F183" s="16" t="s">
        <v>123</v>
      </c>
      <c r="G183" s="18">
        <v>6113356.7699999996</v>
      </c>
      <c r="H183" s="16"/>
      <c r="I183" s="19">
        <f>IF(TablaIngresos[[#This Row],[Impuesto]]="Si",Configuración!$B$20,0)</f>
        <v>0</v>
      </c>
      <c r="J183" s="22">
        <f>TablaIngresos[[#This Row],[Ingreso]]*TablaIngresos[[#This Row],[% de Impuesto]]</f>
        <v>0</v>
      </c>
      <c r="K183" s="22">
        <f>TablaIngresos[[#This Row],[Ingreso]]-TablaIngresos[[#This Row],[Total Impuesto]]</f>
        <v>6113356.7699999996</v>
      </c>
    </row>
    <row r="184" spans="2:11" ht="20.100000000000001" customHeight="1" x14ac:dyDescent="0.25">
      <c r="B184" s="140">
        <v>45649</v>
      </c>
      <c r="C184" s="128" t="str">
        <f>IF(Ingresos!$B184="","",TEXT(Ingresos!$B184,"MMMM" ))</f>
        <v>diciembre</v>
      </c>
      <c r="D184" s="16" t="s">
        <v>130</v>
      </c>
      <c r="E184" s="17"/>
      <c r="F184" s="16" t="s">
        <v>12</v>
      </c>
      <c r="G184" s="18">
        <v>1676219.41</v>
      </c>
      <c r="H184" s="16"/>
      <c r="I184" s="19">
        <f>IF(TablaIngresos[[#This Row],[Impuesto]]="Si",Configuración!$B$20,0)</f>
        <v>0</v>
      </c>
      <c r="J184" s="22">
        <f>TablaIngresos[[#This Row],[Ingreso]]*TablaIngresos[[#This Row],[% de Impuesto]]</f>
        <v>0</v>
      </c>
      <c r="K184" s="22">
        <f>TablaIngresos[[#This Row],[Ingreso]]-TablaIngresos[[#This Row],[Total Impuesto]]</f>
        <v>1676219.41</v>
      </c>
    </row>
    <row r="185" spans="2:11" ht="20.100000000000001" customHeight="1" x14ac:dyDescent="0.25">
      <c r="B185" s="140">
        <v>45649</v>
      </c>
      <c r="C185" s="128" t="str">
        <f>IF(Ingresos!$B185="","",TEXT(Ingresos!$B185,"MMMM" ))</f>
        <v>diciembre</v>
      </c>
      <c r="D185" s="16" t="s">
        <v>130</v>
      </c>
      <c r="E185" s="17"/>
      <c r="F185" s="16" t="s">
        <v>123</v>
      </c>
      <c r="G185" s="18">
        <v>4974944.76</v>
      </c>
      <c r="H185" s="16"/>
      <c r="I185" s="19">
        <f>IF(TablaIngresos[[#This Row],[Impuesto]]="Si",Configuración!$B$20,0)</f>
        <v>0</v>
      </c>
      <c r="J185" s="22">
        <f>TablaIngresos[[#This Row],[Ingreso]]*TablaIngresos[[#This Row],[% de Impuesto]]</f>
        <v>0</v>
      </c>
      <c r="K185" s="22">
        <f>TablaIngresos[[#This Row],[Ingreso]]-TablaIngresos[[#This Row],[Total Impuesto]]</f>
        <v>4974944.76</v>
      </c>
    </row>
    <row r="186" spans="2:11" ht="20.100000000000001" customHeight="1" x14ac:dyDescent="0.25">
      <c r="B186" s="140">
        <v>45649</v>
      </c>
      <c r="C186" s="128" t="str">
        <f>IF(Ingresos!$B186="","",TEXT(Ingresos!$B186,"MMMM" ))</f>
        <v>diciembre</v>
      </c>
      <c r="D186" s="16" t="s">
        <v>126</v>
      </c>
      <c r="E186" s="17"/>
      <c r="F186" s="16" t="s">
        <v>12</v>
      </c>
      <c r="G186" s="18">
        <v>1975752.5</v>
      </c>
      <c r="H186" s="16"/>
      <c r="I186" s="19">
        <f>IF(TablaIngresos[[#This Row],[Impuesto]]="Si",Configuración!$B$20,0)</f>
        <v>0</v>
      </c>
      <c r="J186" s="22">
        <f>TablaIngresos[[#This Row],[Ingreso]]*TablaIngresos[[#This Row],[% de Impuesto]]</f>
        <v>0</v>
      </c>
      <c r="K186" s="22">
        <f>TablaIngresos[[#This Row],[Ingreso]]-TablaIngresos[[#This Row],[Total Impuesto]]</f>
        <v>1975752.5</v>
      </c>
    </row>
    <row r="187" spans="2:11" ht="20.100000000000001" customHeight="1" x14ac:dyDescent="0.25">
      <c r="B187" s="140">
        <v>45649</v>
      </c>
      <c r="C187" s="128" t="str">
        <f>IF(Ingresos!$B187="","",TEXT(Ingresos!$B187,"MMMM" ))</f>
        <v>diciembre</v>
      </c>
      <c r="D187" s="16" t="s">
        <v>126</v>
      </c>
      <c r="E187" s="17"/>
      <c r="F187" s="16" t="s">
        <v>123</v>
      </c>
      <c r="G187" s="18">
        <v>3427059.49</v>
      </c>
      <c r="H187" s="16"/>
      <c r="I187" s="19">
        <f>IF(TablaIngresos[[#This Row],[Impuesto]]="Si",Configuración!$B$20,0)</f>
        <v>0</v>
      </c>
      <c r="J187" s="22">
        <f>TablaIngresos[[#This Row],[Ingreso]]*TablaIngresos[[#This Row],[% de Impuesto]]</f>
        <v>0</v>
      </c>
      <c r="K187" s="22">
        <f>TablaIngresos[[#This Row],[Ingreso]]-TablaIngresos[[#This Row],[Total Impuesto]]</f>
        <v>3427059.49</v>
      </c>
    </row>
    <row r="188" spans="2:11" ht="20.100000000000001" customHeight="1" x14ac:dyDescent="0.25">
      <c r="B188" s="140">
        <v>45650</v>
      </c>
      <c r="C188" s="128" t="str">
        <f>IF(Ingresos!$B188="","",TEXT(Ingresos!$B188,"MMMM" ))</f>
        <v>diciembre</v>
      </c>
      <c r="D188" s="16" t="s">
        <v>126</v>
      </c>
      <c r="E188" s="17"/>
      <c r="F188" s="16" t="s">
        <v>12</v>
      </c>
      <c r="G188" s="18">
        <v>402053.41</v>
      </c>
      <c r="H188" s="16"/>
      <c r="I188" s="19">
        <f>IF(TablaIngresos[[#This Row],[Impuesto]]="Si",Configuración!$B$20,0)</f>
        <v>0</v>
      </c>
      <c r="J188" s="22">
        <f>TablaIngresos[[#This Row],[Ingreso]]*TablaIngresos[[#This Row],[% de Impuesto]]</f>
        <v>0</v>
      </c>
      <c r="K188" s="22">
        <f>TablaIngresos[[#This Row],[Ingreso]]-TablaIngresos[[#This Row],[Total Impuesto]]</f>
        <v>402053.41</v>
      </c>
    </row>
    <row r="189" spans="2:11" ht="20.100000000000001" customHeight="1" x14ac:dyDescent="0.25">
      <c r="B189" s="140">
        <v>45650</v>
      </c>
      <c r="C189" s="128" t="str">
        <f>IF(Ingresos!$B189="","",TEXT(Ingresos!$B189,"MMMM" ))</f>
        <v>diciembre</v>
      </c>
      <c r="D189" s="16" t="s">
        <v>126</v>
      </c>
      <c r="E189" s="17"/>
      <c r="F189" s="16" t="s">
        <v>123</v>
      </c>
      <c r="G189" s="18">
        <v>1283273.1200000001</v>
      </c>
      <c r="H189" s="16"/>
      <c r="I189" s="19">
        <f>IF(TablaIngresos[[#This Row],[Impuesto]]="Si",Configuración!$B$20,0)</f>
        <v>0</v>
      </c>
      <c r="J189" s="22">
        <f>TablaIngresos[[#This Row],[Ingreso]]*TablaIngresos[[#This Row],[% de Impuesto]]</f>
        <v>0</v>
      </c>
      <c r="K189" s="22">
        <f>TablaIngresos[[#This Row],[Ingreso]]-TablaIngresos[[#This Row],[Total Impuesto]]</f>
        <v>1283273.1200000001</v>
      </c>
    </row>
    <row r="190" spans="2:11" ht="20.100000000000001" customHeight="1" x14ac:dyDescent="0.25">
      <c r="B190" s="140">
        <v>45650</v>
      </c>
      <c r="C190" s="128" t="str">
        <f>IF(Ingresos!$B190="","",TEXT(Ingresos!$B190,"MMMM" ))</f>
        <v>diciembre</v>
      </c>
      <c r="D190" s="16" t="s">
        <v>130</v>
      </c>
      <c r="E190" s="17"/>
      <c r="F190" s="16" t="s">
        <v>12</v>
      </c>
      <c r="G190" s="18">
        <v>1668011.93</v>
      </c>
      <c r="H190" s="16"/>
      <c r="I190" s="19">
        <f>IF(TablaIngresos[[#This Row],[Impuesto]]="Si",Configuración!$B$20,0)</f>
        <v>0</v>
      </c>
      <c r="J190" s="22">
        <f>TablaIngresos[[#This Row],[Ingreso]]*TablaIngresos[[#This Row],[% de Impuesto]]</f>
        <v>0</v>
      </c>
      <c r="K190" s="22">
        <f>TablaIngresos[[#This Row],[Ingreso]]-TablaIngresos[[#This Row],[Total Impuesto]]</f>
        <v>1668011.93</v>
      </c>
    </row>
    <row r="191" spans="2:11" ht="20.100000000000001" customHeight="1" x14ac:dyDescent="0.25">
      <c r="B191" s="140">
        <v>45650</v>
      </c>
      <c r="C191" s="128" t="str">
        <f>IF(Ingresos!$B191="","",TEXT(Ingresos!$B191,"MMMM" ))</f>
        <v>diciembre</v>
      </c>
      <c r="D191" s="16" t="s">
        <v>130</v>
      </c>
      <c r="E191" s="17"/>
      <c r="F191" s="16" t="s">
        <v>123</v>
      </c>
      <c r="G191" s="18">
        <v>4164764.71</v>
      </c>
      <c r="H191" s="16"/>
      <c r="I191" s="19">
        <f>IF(TablaIngresos[[#This Row],[Impuesto]]="Si",Configuración!$B$20,0)</f>
        <v>0</v>
      </c>
      <c r="J191" s="22">
        <f>TablaIngresos[[#This Row],[Ingreso]]*TablaIngresos[[#This Row],[% de Impuesto]]</f>
        <v>0</v>
      </c>
      <c r="K191" s="22">
        <f>TablaIngresos[[#This Row],[Ingreso]]-TablaIngresos[[#This Row],[Total Impuesto]]</f>
        <v>4164764.71</v>
      </c>
    </row>
    <row r="192" spans="2:11" ht="20.100000000000001" customHeight="1" x14ac:dyDescent="0.25">
      <c r="B192" s="140">
        <v>45650</v>
      </c>
      <c r="C192" s="128" t="str">
        <f>IF(Ingresos!$B192="","",TEXT(Ingresos!$B192,"MMMM" ))</f>
        <v>diciembre</v>
      </c>
      <c r="D192" s="16" t="s">
        <v>127</v>
      </c>
      <c r="E192" s="17"/>
      <c r="F192" s="16" t="s">
        <v>12</v>
      </c>
      <c r="G192" s="18">
        <v>2814113.21</v>
      </c>
      <c r="H192" s="16"/>
      <c r="I192" s="19">
        <f>IF(TablaIngresos[[#This Row],[Impuesto]]="Si",Configuración!$B$20,0)</f>
        <v>0</v>
      </c>
      <c r="J192" s="22">
        <f>TablaIngresos[[#This Row],[Ingreso]]*TablaIngresos[[#This Row],[% de Impuesto]]</f>
        <v>0</v>
      </c>
      <c r="K192" s="22">
        <f>TablaIngresos[[#This Row],[Ingreso]]-TablaIngresos[[#This Row],[Total Impuesto]]</f>
        <v>2814113.21</v>
      </c>
    </row>
    <row r="193" spans="2:11" ht="20.100000000000001" customHeight="1" x14ac:dyDescent="0.25">
      <c r="B193" s="140">
        <v>45650</v>
      </c>
      <c r="C193" s="128" t="str">
        <f>IF(Ingresos!$B193="","",TEXT(Ingresos!$B193,"MMMM" ))</f>
        <v>diciembre</v>
      </c>
      <c r="D193" s="16" t="s">
        <v>127</v>
      </c>
      <c r="E193" s="17"/>
      <c r="F193" s="16" t="s">
        <v>123</v>
      </c>
      <c r="G193" s="18">
        <v>2409556.9</v>
      </c>
      <c r="H193" s="16"/>
      <c r="I193" s="19">
        <f>IF(TablaIngresos[[#This Row],[Impuesto]]="Si",Configuración!$B$20,0)</f>
        <v>0</v>
      </c>
      <c r="J193" s="22">
        <f>TablaIngresos[[#This Row],[Ingreso]]*TablaIngresos[[#This Row],[% de Impuesto]]</f>
        <v>0</v>
      </c>
      <c r="K193" s="22">
        <f>TablaIngresos[[#This Row],[Ingreso]]-TablaIngresos[[#This Row],[Total Impuesto]]</f>
        <v>2409556.9</v>
      </c>
    </row>
    <row r="194" spans="2:11" ht="20.100000000000001" customHeight="1" x14ac:dyDescent="0.25">
      <c r="B194" s="140">
        <v>45653</v>
      </c>
      <c r="C194" s="128" t="str">
        <f>IF(Ingresos!$B194="","",TEXT(Ingresos!$B194,"MMMM" ))</f>
        <v>diciembre</v>
      </c>
      <c r="D194" s="16" t="s">
        <v>129</v>
      </c>
      <c r="E194" s="17"/>
      <c r="F194" s="16" t="s">
        <v>12</v>
      </c>
      <c r="G194" s="18">
        <v>209085.62</v>
      </c>
      <c r="H194" s="16"/>
      <c r="I194" s="19">
        <f>IF(TablaIngresos[[#This Row],[Impuesto]]="Si",Configuración!$B$20,0)</f>
        <v>0</v>
      </c>
      <c r="J194" s="22">
        <f>TablaIngresos[[#This Row],[Ingreso]]*TablaIngresos[[#This Row],[% de Impuesto]]</f>
        <v>0</v>
      </c>
      <c r="K194" s="22">
        <f>TablaIngresos[[#This Row],[Ingreso]]-TablaIngresos[[#This Row],[Total Impuesto]]</f>
        <v>209085.62</v>
      </c>
    </row>
    <row r="195" spans="2:11" ht="20.100000000000001" customHeight="1" x14ac:dyDescent="0.25">
      <c r="B195" s="140">
        <v>45652</v>
      </c>
      <c r="C195" s="128" t="str">
        <f>IF(Ingresos!$B195="","",TEXT(Ingresos!$B195,"MMMM" ))</f>
        <v>diciembre</v>
      </c>
      <c r="D195" s="16" t="s">
        <v>131</v>
      </c>
      <c r="E195" s="17" t="s">
        <v>546</v>
      </c>
      <c r="F195" s="16" t="s">
        <v>118</v>
      </c>
      <c r="G195" s="18">
        <v>0</v>
      </c>
      <c r="H195" s="16"/>
      <c r="I195" s="19">
        <f>IF(TablaIngresos[[#This Row],[Impuesto]]="Si",Configuración!$B$20,0)</f>
        <v>0</v>
      </c>
      <c r="J195" s="22">
        <f>TablaIngresos[[#This Row],[Ingreso]]*TablaIngresos[[#This Row],[% de Impuesto]]</f>
        <v>0</v>
      </c>
      <c r="K195" s="22">
        <f>TablaIngresos[[#This Row],[Ingreso]]-TablaIngresos[[#This Row],[Total Impuesto]]</f>
        <v>0</v>
      </c>
    </row>
    <row r="196" spans="2:11" ht="20.100000000000001" customHeight="1" x14ac:dyDescent="0.25">
      <c r="B196" s="140">
        <v>45652</v>
      </c>
      <c r="C196" s="128" t="str">
        <f>IF(Ingresos!$B196="","",TEXT(Ingresos!$B196,"MMMM" ))</f>
        <v>diciembre</v>
      </c>
      <c r="D196" s="16" t="s">
        <v>127</v>
      </c>
      <c r="E196" s="17"/>
      <c r="F196" s="16" t="s">
        <v>12</v>
      </c>
      <c r="G196" s="18">
        <v>428232.48</v>
      </c>
      <c r="H196" s="16"/>
      <c r="I196" s="19">
        <f>IF(TablaIngresos[[#This Row],[Impuesto]]="Si",Configuración!$B$20,0)</f>
        <v>0</v>
      </c>
      <c r="J196" s="22">
        <f>TablaIngresos[[#This Row],[Ingreso]]*TablaIngresos[[#This Row],[% de Impuesto]]</f>
        <v>0</v>
      </c>
      <c r="K196" s="22">
        <f>TablaIngresos[[#This Row],[Ingreso]]-TablaIngresos[[#This Row],[Total Impuesto]]</f>
        <v>428232.48</v>
      </c>
    </row>
    <row r="197" spans="2:11" ht="20.100000000000001" customHeight="1" x14ac:dyDescent="0.25">
      <c r="B197" s="140">
        <v>45652</v>
      </c>
      <c r="C197" s="128" t="str">
        <f>IF(Ingresos!$B197="","",TEXT(Ingresos!$B197,"MMMM" ))</f>
        <v>diciembre</v>
      </c>
      <c r="D197" s="16" t="s">
        <v>127</v>
      </c>
      <c r="E197" s="17"/>
      <c r="F197" s="16" t="s">
        <v>123</v>
      </c>
      <c r="G197" s="18">
        <v>1370757.36</v>
      </c>
      <c r="H197" s="16"/>
      <c r="I197" s="19">
        <f>IF(TablaIngresos[[#This Row],[Impuesto]]="Si",Configuración!$B$20,0)</f>
        <v>0</v>
      </c>
      <c r="J197" s="22">
        <f>TablaIngresos[[#This Row],[Ingreso]]*TablaIngresos[[#This Row],[% de Impuesto]]</f>
        <v>0</v>
      </c>
      <c r="K197" s="22">
        <f>TablaIngresos[[#This Row],[Ingreso]]-TablaIngresos[[#This Row],[Total Impuesto]]</f>
        <v>1370757.36</v>
      </c>
    </row>
    <row r="198" spans="2:11" ht="20.100000000000001" customHeight="1" x14ac:dyDescent="0.25">
      <c r="B198" s="140">
        <v>45652</v>
      </c>
      <c r="C198" s="128" t="str">
        <f>IF(Ingresos!$B198="","",TEXT(Ingresos!$B198,"MMMM" ))</f>
        <v>diciembre</v>
      </c>
      <c r="D198" s="16" t="s">
        <v>130</v>
      </c>
      <c r="E198" s="17"/>
      <c r="F198" s="16" t="s">
        <v>12</v>
      </c>
      <c r="G198" s="18">
        <v>324992.96000000002</v>
      </c>
      <c r="H198" s="16"/>
      <c r="I198" s="19">
        <f>IF(TablaIngresos[[#This Row],[Impuesto]]="Si",Configuración!$B$20,0)</f>
        <v>0</v>
      </c>
      <c r="J198" s="22">
        <f>TablaIngresos[[#This Row],[Ingreso]]*TablaIngresos[[#This Row],[% de Impuesto]]</f>
        <v>0</v>
      </c>
      <c r="K198" s="22">
        <f>TablaIngresos[[#This Row],[Ingreso]]-TablaIngresos[[#This Row],[Total Impuesto]]</f>
        <v>324992.96000000002</v>
      </c>
    </row>
    <row r="199" spans="2:11" ht="20.100000000000001" customHeight="1" x14ac:dyDescent="0.25">
      <c r="B199" s="140">
        <v>45652</v>
      </c>
      <c r="C199" s="128" t="str">
        <f>IF(Ingresos!$B199="","",TEXT(Ingresos!$B199,"MMMM" ))</f>
        <v>diciembre</v>
      </c>
      <c r="D199" s="16" t="s">
        <v>130</v>
      </c>
      <c r="E199" s="17"/>
      <c r="F199" s="16" t="s">
        <v>123</v>
      </c>
      <c r="G199" s="18">
        <v>2839039.92</v>
      </c>
      <c r="H199" s="16"/>
      <c r="I199" s="19">
        <f>IF(TablaIngresos[[#This Row],[Impuesto]]="Si",Configuración!$B$20,0)</f>
        <v>0</v>
      </c>
      <c r="J199" s="22">
        <f>TablaIngresos[[#This Row],[Ingreso]]*TablaIngresos[[#This Row],[% de Impuesto]]</f>
        <v>0</v>
      </c>
      <c r="K199" s="22">
        <f>TablaIngresos[[#This Row],[Ingreso]]-TablaIngresos[[#This Row],[Total Impuesto]]</f>
        <v>2839039.92</v>
      </c>
    </row>
    <row r="200" spans="2:11" ht="20.100000000000001" customHeight="1" x14ac:dyDescent="0.25">
      <c r="B200" s="140">
        <v>45652</v>
      </c>
      <c r="C200" s="128" t="str">
        <f>IF(Ingresos!$B200="","",TEXT(Ingresos!$B200,"MMMM" ))</f>
        <v>diciembre</v>
      </c>
      <c r="D200" s="16" t="s">
        <v>126</v>
      </c>
      <c r="E200" s="17"/>
      <c r="F200" s="16" t="s">
        <v>12</v>
      </c>
      <c r="G200" s="18">
        <v>446166.78</v>
      </c>
      <c r="H200" s="16"/>
      <c r="I200" s="19">
        <f>IF(TablaIngresos[[#This Row],[Impuesto]]="Si",Configuración!$B$20,0)</f>
        <v>0</v>
      </c>
      <c r="J200" s="22">
        <f>TablaIngresos[[#This Row],[Ingreso]]*TablaIngresos[[#This Row],[% de Impuesto]]</f>
        <v>0</v>
      </c>
      <c r="K200" s="22">
        <f>TablaIngresos[[#This Row],[Ingreso]]-TablaIngresos[[#This Row],[Total Impuesto]]</f>
        <v>446166.78</v>
      </c>
    </row>
    <row r="201" spans="2:11" ht="20.100000000000001" customHeight="1" x14ac:dyDescent="0.25">
      <c r="B201" s="140">
        <v>45652</v>
      </c>
      <c r="C201" s="128" t="str">
        <f>IF(Ingresos!$B201="","",TEXT(Ingresos!$B201,"MMMM" ))</f>
        <v>diciembre</v>
      </c>
      <c r="D201" s="16" t="s">
        <v>126</v>
      </c>
      <c r="E201" s="17"/>
      <c r="F201" s="16" t="s">
        <v>123</v>
      </c>
      <c r="G201" s="18">
        <v>1302554.6000000001</v>
      </c>
      <c r="H201" s="16"/>
      <c r="I201" s="19">
        <f>IF(TablaIngresos[[#This Row],[Impuesto]]="Si",Configuración!$B$20,0)</f>
        <v>0</v>
      </c>
      <c r="J201" s="22">
        <f>TablaIngresos[[#This Row],[Ingreso]]*TablaIngresos[[#This Row],[% de Impuesto]]</f>
        <v>0</v>
      </c>
      <c r="K201" s="22">
        <f>TablaIngresos[[#This Row],[Ingreso]]-TablaIngresos[[#This Row],[Total Impuesto]]</f>
        <v>1302554.6000000001</v>
      </c>
    </row>
  </sheetData>
  <mergeCells count="10">
    <mergeCell ref="J5:K5"/>
    <mergeCell ref="J6:K6"/>
    <mergeCell ref="E1:H3"/>
    <mergeCell ref="I2:J2"/>
    <mergeCell ref="B5:C5"/>
    <mergeCell ref="B6:C6"/>
    <mergeCell ref="F5:G5"/>
    <mergeCell ref="F6:G6"/>
    <mergeCell ref="H5:I5"/>
    <mergeCell ref="H6:I6"/>
  </mergeCells>
  <conditionalFormatting sqref="F6:K6">
    <cfRule type="expression" dxfId="97" priority="6">
      <formula>$E$6="Pesos"</formula>
    </cfRule>
    <cfRule type="expression" dxfId="96" priority="7">
      <formula>$E$6="Soles"</formula>
    </cfRule>
    <cfRule type="expression" dxfId="95" priority="8">
      <formula>$E$6="Bolivianos"</formula>
    </cfRule>
    <cfRule type="expression" dxfId="94" priority="9">
      <formula>$E$6="Euros"</formula>
    </cfRule>
    <cfRule type="expression" dxfId="93" priority="10">
      <formula>$E$6="Dólares"</formula>
    </cfRule>
  </conditionalFormatting>
  <conditionalFormatting sqref="G9:G201 J9:K201">
    <cfRule type="expression" dxfId="92" priority="1">
      <formula>$E$6="Pesos"</formula>
    </cfRule>
    <cfRule type="expression" dxfId="91" priority="2">
      <formula>$E$6="Soles"</formula>
    </cfRule>
    <cfRule type="expression" dxfId="90" priority="3">
      <formula>$E$6="Euros"</formula>
    </cfRule>
    <cfRule type="expression" dxfId="89" priority="4">
      <formula>$E$6="Dólares"</formula>
    </cfRule>
    <cfRule type="expression" dxfId="88" priority="5">
      <formula>$E$6="Bolivianos"</formula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Configuración!$G$8:$G$19</xm:f>
          </x14:formula1>
          <xm:sqref>F9:F201</xm:sqref>
        </x14:dataValidation>
        <x14:dataValidation type="list" allowBlank="1" showInputMessage="1" showErrorMessage="1" xr:uid="{00000000-0002-0000-0200-000001000000}">
          <x14:formula1>
            <xm:f>Configuración!$D$9:$D$19</xm:f>
          </x14:formula1>
          <xm:sqref>D9:D201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5757"/>
  </sheetPr>
  <dimension ref="A1:L503"/>
  <sheetViews>
    <sheetView tabSelected="1" topLeftCell="B1" zoomScale="80" zoomScaleNormal="80" workbookViewId="0">
      <selection activeCell="K9" sqref="K9"/>
    </sheetView>
  </sheetViews>
  <sheetFormatPr baseColWidth="10" defaultRowHeight="20.100000000000001" customHeight="1" x14ac:dyDescent="0.25"/>
  <cols>
    <col min="1" max="1" width="11.42578125" style="9"/>
    <col min="2" max="2" width="18.7109375" style="36" customWidth="1"/>
    <col min="3" max="3" width="15.7109375" style="1" customWidth="1"/>
    <col min="4" max="4" width="44.42578125" style="1" bestFit="1" customWidth="1"/>
    <col min="5" max="5" width="59.85546875" style="1" bestFit="1" customWidth="1"/>
    <col min="6" max="6" width="24.85546875" style="1" customWidth="1"/>
    <col min="7" max="7" width="20.7109375" style="1" customWidth="1"/>
    <col min="8" max="8" width="15.7109375" style="1" customWidth="1"/>
    <col min="9" max="10" width="20.7109375" style="1" customWidth="1"/>
    <col min="11" max="11" width="25.7109375" style="1" customWidth="1"/>
    <col min="12" max="12" width="11.42578125" style="9"/>
    <col min="13" max="16384" width="11.42578125" style="1"/>
  </cols>
  <sheetData>
    <row r="1" spans="1:12" ht="20.100000000000001" customHeight="1" x14ac:dyDescent="0.25">
      <c r="A1" s="29"/>
      <c r="B1" s="131"/>
      <c r="C1" s="29"/>
      <c r="D1" s="29"/>
      <c r="E1" s="173" t="s">
        <v>40</v>
      </c>
      <c r="F1" s="173"/>
      <c r="G1" s="173"/>
      <c r="H1" s="173"/>
      <c r="I1" s="29"/>
      <c r="J1" s="29"/>
      <c r="K1" s="29"/>
      <c r="L1" s="29"/>
    </row>
    <row r="2" spans="1:12" ht="20.100000000000001" customHeight="1" x14ac:dyDescent="0.25">
      <c r="A2" s="29"/>
      <c r="B2" s="131"/>
      <c r="C2" s="29"/>
      <c r="D2" s="29"/>
      <c r="E2" s="173"/>
      <c r="F2" s="173"/>
      <c r="G2" s="173"/>
      <c r="H2" s="173"/>
      <c r="I2" s="174" t="str">
        <f>Configuración!$B$8</f>
        <v>Nombre de tu empresa</v>
      </c>
      <c r="J2" s="174"/>
      <c r="K2" s="30">
        <f>Configuración!$B$11</f>
        <v>2024</v>
      </c>
      <c r="L2" s="29"/>
    </row>
    <row r="3" spans="1:12" ht="20.100000000000001" customHeight="1" x14ac:dyDescent="0.25">
      <c r="A3" s="29"/>
      <c r="B3" s="131"/>
      <c r="C3" s="29"/>
      <c r="D3" s="29"/>
      <c r="E3" s="173"/>
      <c r="F3" s="173"/>
      <c r="G3" s="173"/>
      <c r="H3" s="173"/>
      <c r="I3" s="29"/>
      <c r="J3" s="29"/>
      <c r="K3" s="29"/>
      <c r="L3" s="29"/>
    </row>
    <row r="4" spans="1:12" s="9" customFormat="1" ht="20.100000000000001" customHeight="1" x14ac:dyDescent="0.25">
      <c r="B4" s="34"/>
    </row>
    <row r="5" spans="1:12" ht="30" customHeight="1" x14ac:dyDescent="0.25">
      <c r="B5" s="166" t="s">
        <v>31</v>
      </c>
      <c r="C5" s="166"/>
      <c r="D5" s="67" t="s">
        <v>78</v>
      </c>
      <c r="E5" s="21" t="s">
        <v>32</v>
      </c>
      <c r="F5" s="170" t="s">
        <v>73</v>
      </c>
      <c r="G5" s="170"/>
      <c r="H5" s="168" t="s">
        <v>69</v>
      </c>
      <c r="I5" s="168"/>
      <c r="J5" s="175" t="s">
        <v>74</v>
      </c>
      <c r="K5" s="175"/>
    </row>
    <row r="6" spans="1:12" ht="35.1" customHeight="1" x14ac:dyDescent="0.25">
      <c r="B6" s="167" t="s">
        <v>30</v>
      </c>
      <c r="C6" s="167"/>
      <c r="D6" s="68">
        <f>Configuración!$B$33</f>
        <v>45597</v>
      </c>
      <c r="E6" s="23" t="str">
        <f>Configuración!$B$17</f>
        <v>Pesos</v>
      </c>
      <c r="F6" s="171">
        <f>SUMIFS(TablaEgreso[Egreso sin C.F.],TablaEgreso[Fecha],"&gt;="&amp;$D$6,TablaEgreso[Fecha],"&lt;="&amp;$D$7)</f>
        <v>91193519.926000029</v>
      </c>
      <c r="G6" s="171"/>
      <c r="H6" s="169">
        <f>SUMIFS(TablaEgreso[Total Crédito Fiscal],TablaEgreso[Fecha],"&gt;="&amp;$D$6,TablaEgreso[Fecha],"&lt;="&amp;$D$7)</f>
        <v>0</v>
      </c>
      <c r="I6" s="169"/>
      <c r="J6" s="172">
        <f>$F$6+$H$6</f>
        <v>91193519.926000029</v>
      </c>
      <c r="K6" s="172"/>
    </row>
    <row r="7" spans="1:12" s="9" customFormat="1" ht="20.100000000000001" customHeight="1" x14ac:dyDescent="0.25">
      <c r="B7" s="132"/>
      <c r="C7" s="123"/>
      <c r="D7" s="124">
        <f>Configuración!$I$23</f>
        <v>45961</v>
      </c>
      <c r="E7" s="123"/>
      <c r="F7" s="123"/>
      <c r="G7" s="123"/>
      <c r="H7" s="123"/>
      <c r="I7" s="123"/>
      <c r="J7" s="123"/>
      <c r="K7" s="123"/>
    </row>
    <row r="8" spans="1:12" s="145" customFormat="1" ht="24.95" customHeight="1" x14ac:dyDescent="0.25">
      <c r="A8" s="141"/>
      <c r="B8" s="142" t="s">
        <v>22</v>
      </c>
      <c r="C8" s="143" t="s">
        <v>15</v>
      </c>
      <c r="D8" s="143" t="s">
        <v>23</v>
      </c>
      <c r="E8" s="143" t="s">
        <v>24</v>
      </c>
      <c r="F8" s="143" t="s">
        <v>25</v>
      </c>
      <c r="G8" s="143" t="s">
        <v>47</v>
      </c>
      <c r="H8" s="143" t="s">
        <v>43</v>
      </c>
      <c r="I8" s="143" t="s">
        <v>44</v>
      </c>
      <c r="J8" s="143" t="s">
        <v>45</v>
      </c>
      <c r="K8" s="144" t="s">
        <v>46</v>
      </c>
      <c r="L8" s="141"/>
    </row>
    <row r="9" spans="1:12" ht="20.100000000000001" customHeight="1" x14ac:dyDescent="0.25">
      <c r="B9" s="140">
        <v>45627</v>
      </c>
      <c r="C9" s="127" t="str">
        <f>IF(Egresos!$B9="","",TEXT(Egresos!$B9,"MMMM" ))</f>
        <v>diciembre</v>
      </c>
      <c r="D9" s="16" t="s">
        <v>19</v>
      </c>
      <c r="E9" s="17" t="s">
        <v>135</v>
      </c>
      <c r="F9" s="16" t="s">
        <v>118</v>
      </c>
      <c r="G9" s="35">
        <f>TablaEgreso[[#This Row],[Egreso Total]]-TablaEgreso[[#This Row],[Total Crédito Fiscal]]</f>
        <v>100000</v>
      </c>
      <c r="H9" s="16"/>
      <c r="I9" s="31">
        <f>IF(TablaEgreso[[#This Row],[Crédito Fiscal]]="Si",Configuración!$B$26,0)</f>
        <v>0</v>
      </c>
      <c r="J9" s="32">
        <f>TablaEgreso[[#This Row],[Egreso Total]]*TablaEgreso[[#This Row],[% de Crédito Fiscal]]</f>
        <v>0</v>
      </c>
      <c r="K9" s="146">
        <v>100000</v>
      </c>
    </row>
    <row r="10" spans="1:12" ht="20.100000000000001" customHeight="1" x14ac:dyDescent="0.25">
      <c r="B10" s="140">
        <v>45628</v>
      </c>
      <c r="C10" s="127" t="str">
        <f>IF(Egresos!$B10="","",TEXT(Egresos!$B10,"MMMM" ))</f>
        <v>diciembre</v>
      </c>
      <c r="D10" s="16" t="s">
        <v>19</v>
      </c>
      <c r="E10" s="17" t="s">
        <v>135</v>
      </c>
      <c r="F10" s="16" t="s">
        <v>118</v>
      </c>
      <c r="G10" s="35">
        <f>TablaEgreso[[#This Row],[Egreso Total]]-TablaEgreso[[#This Row],[Total Crédito Fiscal]]</f>
        <v>300000</v>
      </c>
      <c r="H10" s="16"/>
      <c r="I10" s="31">
        <f>IF(TablaEgreso[[#This Row],[Crédito Fiscal]]="Si",Configuración!$B$26,0)</f>
        <v>0</v>
      </c>
      <c r="J10" s="32">
        <f>TablaEgreso[[#This Row],[Egreso Total]]*TablaEgreso[[#This Row],[% de Crédito Fiscal]]</f>
        <v>0</v>
      </c>
      <c r="K10" s="146">
        <v>300000</v>
      </c>
    </row>
    <row r="11" spans="1:12" ht="20.100000000000001" customHeight="1" x14ac:dyDescent="0.25">
      <c r="B11" s="140">
        <v>45628</v>
      </c>
      <c r="C11" s="127" t="str">
        <f>IF(Egresos!$B11="","",TEXT(Egresos!$B11,"MMMM" ))</f>
        <v>diciembre</v>
      </c>
      <c r="D11" s="16" t="s">
        <v>112</v>
      </c>
      <c r="E11" s="17" t="s">
        <v>151</v>
      </c>
      <c r="F11" s="16" t="s">
        <v>118</v>
      </c>
      <c r="G11" s="35">
        <f>TablaEgreso[[#This Row],[Egreso Total]]-TablaEgreso[[#This Row],[Total Crédito Fiscal]]</f>
        <v>18000</v>
      </c>
      <c r="H11" s="16"/>
      <c r="I11" s="31">
        <f>IF(TablaEgreso[[#This Row],[Crédito Fiscal]]="Si",Configuración!$B$26,0)</f>
        <v>0</v>
      </c>
      <c r="J11" s="32">
        <f>TablaEgreso[[#This Row],[Egreso Total]]*TablaEgreso[[#This Row],[% de Crédito Fiscal]]</f>
        <v>0</v>
      </c>
      <c r="K11" s="146">
        <v>18000</v>
      </c>
    </row>
    <row r="12" spans="1:12" ht="20.100000000000001" customHeight="1" x14ac:dyDescent="0.25">
      <c r="B12" s="140">
        <v>45628</v>
      </c>
      <c r="C12" s="127" t="str">
        <f>IF(Egresos!$B12="","",TEXT(Egresos!$B12,"MMMM" ))</f>
        <v>diciembre</v>
      </c>
      <c r="D12" s="16" t="s">
        <v>145</v>
      </c>
      <c r="E12" s="17" t="s">
        <v>152</v>
      </c>
      <c r="F12" s="16" t="s">
        <v>118</v>
      </c>
      <c r="G12" s="35">
        <f>TablaEgreso[[#This Row],[Egreso Total]]-TablaEgreso[[#This Row],[Total Crédito Fiscal]]</f>
        <v>24000</v>
      </c>
      <c r="H12" s="16"/>
      <c r="I12" s="31">
        <f>IF(TablaEgreso[[#This Row],[Crédito Fiscal]]="Si",Configuración!$B$26,0)</f>
        <v>0</v>
      </c>
      <c r="J12" s="32">
        <f>TablaEgreso[[#This Row],[Egreso Total]]*TablaEgreso[[#This Row],[% de Crédito Fiscal]]</f>
        <v>0</v>
      </c>
      <c r="K12" s="146">
        <v>24000</v>
      </c>
    </row>
    <row r="13" spans="1:12" ht="20.100000000000001" customHeight="1" x14ac:dyDescent="0.25">
      <c r="B13" s="140">
        <v>45628</v>
      </c>
      <c r="C13" s="127" t="str">
        <f>IF(Egresos!$B13="","",TEXT(Egresos!$B13,"MMMM" ))</f>
        <v>diciembre</v>
      </c>
      <c r="D13" s="16" t="s">
        <v>108</v>
      </c>
      <c r="E13" s="17" t="s">
        <v>153</v>
      </c>
      <c r="F13" s="16" t="s">
        <v>118</v>
      </c>
      <c r="G13" s="35">
        <f>TablaEgreso[[#This Row],[Egreso Total]]-TablaEgreso[[#This Row],[Total Crédito Fiscal]]</f>
        <v>34300</v>
      </c>
      <c r="H13" s="16"/>
      <c r="I13" s="31">
        <f>IF(TablaEgreso[[#This Row],[Crédito Fiscal]]="Si",Configuración!$B$26,0)</f>
        <v>0</v>
      </c>
      <c r="J13" s="32">
        <f>TablaEgreso[[#This Row],[Egreso Total]]*TablaEgreso[[#This Row],[% de Crédito Fiscal]]</f>
        <v>0</v>
      </c>
      <c r="K13" s="146">
        <v>34300</v>
      </c>
    </row>
    <row r="14" spans="1:12" ht="20.100000000000001" customHeight="1" x14ac:dyDescent="0.25">
      <c r="B14" s="140">
        <v>45628</v>
      </c>
      <c r="C14" s="127" t="str">
        <f>IF(Egresos!$B14="","",TEXT(Egresos!$B14,"MMMM" ))</f>
        <v>diciembre</v>
      </c>
      <c r="D14" s="16" t="s">
        <v>108</v>
      </c>
      <c r="E14" s="17" t="s">
        <v>154</v>
      </c>
      <c r="F14" s="16" t="s">
        <v>118</v>
      </c>
      <c r="G14" s="35">
        <f>TablaEgreso[[#This Row],[Egreso Total]]-TablaEgreso[[#This Row],[Total Crédito Fiscal]]</f>
        <v>120000</v>
      </c>
      <c r="H14" s="16"/>
      <c r="I14" s="31">
        <f>IF(TablaEgreso[[#This Row],[Crédito Fiscal]]="Si",Configuración!$B$26,0)</f>
        <v>0</v>
      </c>
      <c r="J14" s="32">
        <f>TablaEgreso[[#This Row],[Egreso Total]]*TablaEgreso[[#This Row],[% de Crédito Fiscal]]</f>
        <v>0</v>
      </c>
      <c r="K14" s="146">
        <v>120000</v>
      </c>
    </row>
    <row r="15" spans="1:12" ht="20.100000000000001" customHeight="1" x14ac:dyDescent="0.25">
      <c r="B15" s="140">
        <v>45628</v>
      </c>
      <c r="C15" s="127" t="str">
        <f>IF(Egresos!$B319="","",TEXT(Egresos!$B319,"MMMM" ))</f>
        <v>diciembre</v>
      </c>
      <c r="D15" s="16" t="s">
        <v>113</v>
      </c>
      <c r="E15" s="17" t="s">
        <v>410</v>
      </c>
      <c r="F15" s="16" t="s">
        <v>121</v>
      </c>
      <c r="G15" s="35">
        <f>TablaEgreso[[#This Row],[Egreso Total]]-TablaEgreso[[#This Row],[Total Crédito Fiscal]]</f>
        <v>671600</v>
      </c>
      <c r="H15" s="16"/>
      <c r="I15" s="31">
        <f>IF(TablaEgreso[[#This Row],[Crédito Fiscal]]="Si",Configuración!$B$26,0)</f>
        <v>0</v>
      </c>
      <c r="J15" s="32">
        <f>TablaEgreso[[#This Row],[Egreso Total]]*TablaEgreso[[#This Row],[% de Crédito Fiscal]]</f>
        <v>0</v>
      </c>
      <c r="K15" s="146">
        <v>671600</v>
      </c>
    </row>
    <row r="16" spans="1:12" ht="20.100000000000001" customHeight="1" x14ac:dyDescent="0.25">
      <c r="B16" s="140">
        <v>45630</v>
      </c>
      <c r="C16" s="127" t="str">
        <f>IF(Egresos!$B314="","",TEXT(Egresos!$B314,"MMMM" ))</f>
        <v>diciembre</v>
      </c>
      <c r="D16" s="16" t="s">
        <v>113</v>
      </c>
      <c r="E16" s="17" t="s">
        <v>404</v>
      </c>
      <c r="F16" s="16" t="s">
        <v>121</v>
      </c>
      <c r="G16" s="35">
        <f>TablaEgreso[[#This Row],[Egreso Total]]-TablaEgreso[[#This Row],[Total Crédito Fiscal]]</f>
        <v>999000</v>
      </c>
      <c r="H16" s="16"/>
      <c r="I16" s="31">
        <f>IF(TablaEgreso[[#This Row],[Crédito Fiscal]]="Si",Configuración!$B$26,0)</f>
        <v>0</v>
      </c>
      <c r="J16" s="32">
        <f>TablaEgreso[[#This Row],[Egreso Total]]*TablaEgreso[[#This Row],[% de Crédito Fiscal]]</f>
        <v>0</v>
      </c>
      <c r="K16" s="146">
        <v>999000</v>
      </c>
    </row>
    <row r="17" spans="2:11" ht="20.100000000000001" customHeight="1" x14ac:dyDescent="0.25">
      <c r="B17" s="140">
        <v>45631</v>
      </c>
      <c r="C17" s="127" t="str">
        <f>IF(Egresos!$B313="","",TEXT(Egresos!$B313,"MMMM" ))</f>
        <v>diciembre</v>
      </c>
      <c r="D17" s="16" t="s">
        <v>113</v>
      </c>
      <c r="E17" s="17" t="s">
        <v>405</v>
      </c>
      <c r="F17" s="16" t="s">
        <v>121</v>
      </c>
      <c r="G17" s="35">
        <f>TablaEgreso[[#This Row],[Egreso Total]]-TablaEgreso[[#This Row],[Total Crédito Fiscal]]</f>
        <v>1021500</v>
      </c>
      <c r="H17" s="16"/>
      <c r="I17" s="31">
        <f>IF(TablaEgreso[[#This Row],[Crédito Fiscal]]="Si",Configuración!$B$26,0)</f>
        <v>0</v>
      </c>
      <c r="J17" s="32">
        <f>TablaEgreso[[#This Row],[Egreso Total]]*TablaEgreso[[#This Row],[% de Crédito Fiscal]]</f>
        <v>0</v>
      </c>
      <c r="K17" s="146">
        <v>1021500</v>
      </c>
    </row>
    <row r="18" spans="2:11" ht="20.100000000000001" customHeight="1" x14ac:dyDescent="0.25">
      <c r="B18" s="140">
        <v>45638</v>
      </c>
      <c r="C18" s="127" t="str">
        <f>IF(Egresos!$B248="","",TEXT(Egresos!$B248,"MMMM" ))</f>
        <v>diciembre</v>
      </c>
      <c r="D18" s="16" t="s">
        <v>113</v>
      </c>
      <c r="E18" s="17" t="s">
        <v>357</v>
      </c>
      <c r="F18" s="16" t="s">
        <v>121</v>
      </c>
      <c r="G18" s="35">
        <f>TablaEgreso[[#This Row],[Egreso Total]]-TablaEgreso[[#This Row],[Total Crédito Fiscal]]</f>
        <v>0</v>
      </c>
      <c r="H18" s="16"/>
      <c r="I18" s="31">
        <f>IF(TablaEgreso[[#This Row],[Crédito Fiscal]]="Si",Configuración!$B$26,0)</f>
        <v>0</v>
      </c>
      <c r="J18" s="32">
        <f>TablaEgreso[[#This Row],[Egreso Total]]*TablaEgreso[[#This Row],[% de Crédito Fiscal]]</f>
        <v>0</v>
      </c>
      <c r="K18" s="146">
        <v>0</v>
      </c>
    </row>
    <row r="19" spans="2:11" ht="20.100000000000001" customHeight="1" x14ac:dyDescent="0.25">
      <c r="B19" s="140">
        <v>45627</v>
      </c>
      <c r="C19" s="127" t="str">
        <f>IF(Egresos!$B19="","",TEXT(Egresos!$B19,"MMMM" ))</f>
        <v>diciembre</v>
      </c>
      <c r="D19" s="16" t="s">
        <v>113</v>
      </c>
      <c r="E19" s="17" t="s">
        <v>159</v>
      </c>
      <c r="F19" s="16" t="s">
        <v>120</v>
      </c>
      <c r="G19" s="35">
        <f>TablaEgreso[[#This Row],[Egreso Total]]-TablaEgreso[[#This Row],[Total Crédito Fiscal]]</f>
        <v>7500</v>
      </c>
      <c r="H19" s="16"/>
      <c r="I19" s="31">
        <f>IF(TablaEgreso[[#This Row],[Crédito Fiscal]]="Si",Configuración!$B$26,0)</f>
        <v>0</v>
      </c>
      <c r="J19" s="32">
        <f>TablaEgreso[[#This Row],[Egreso Total]]*TablaEgreso[[#This Row],[% de Crédito Fiscal]]</f>
        <v>0</v>
      </c>
      <c r="K19" s="146">
        <v>7500</v>
      </c>
    </row>
    <row r="20" spans="2:11" ht="20.100000000000001" customHeight="1" x14ac:dyDescent="0.25">
      <c r="B20" s="140">
        <v>45628</v>
      </c>
      <c r="C20" s="127" t="str">
        <f>IF(Egresos!$B20="","",TEXT(Egresos!$B20,"MMMM" ))</f>
        <v>diciembre</v>
      </c>
      <c r="D20" s="16" t="s">
        <v>114</v>
      </c>
      <c r="E20" s="17" t="s">
        <v>160</v>
      </c>
      <c r="F20" s="16" t="s">
        <v>120</v>
      </c>
      <c r="G20" s="35">
        <f>TablaEgreso[[#This Row],[Egreso Total]]-TablaEgreso[[#This Row],[Total Crédito Fiscal]]</f>
        <v>0</v>
      </c>
      <c r="H20" s="16"/>
      <c r="I20" s="31">
        <f>IF(TablaEgreso[[#This Row],[Crédito Fiscal]]="Si",Configuración!$B$26,0)</f>
        <v>0</v>
      </c>
      <c r="J20" s="32">
        <f>TablaEgreso[[#This Row],[Egreso Total]]*TablaEgreso[[#This Row],[% de Crédito Fiscal]]</f>
        <v>0</v>
      </c>
      <c r="K20" s="146">
        <v>0</v>
      </c>
    </row>
    <row r="21" spans="2:11" ht="20.100000000000001" customHeight="1" x14ac:dyDescent="0.25">
      <c r="B21" s="140">
        <v>45628</v>
      </c>
      <c r="C21" s="127" t="str">
        <f>IF(Egresos!$B21="","",TEXT(Egresos!$B21,"MMMM" ))</f>
        <v>diciembre</v>
      </c>
      <c r="D21" s="16" t="s">
        <v>113</v>
      </c>
      <c r="E21" s="17" t="s">
        <v>161</v>
      </c>
      <c r="F21" s="16" t="s">
        <v>120</v>
      </c>
      <c r="G21" s="35">
        <f>TablaEgreso[[#This Row],[Egreso Total]]-TablaEgreso[[#This Row],[Total Crédito Fiscal]]</f>
        <v>4000</v>
      </c>
      <c r="H21" s="16"/>
      <c r="I21" s="31">
        <f>IF(TablaEgreso[[#This Row],[Crédito Fiscal]]="Si",Configuración!$B$26,0)</f>
        <v>0</v>
      </c>
      <c r="J21" s="32">
        <f>TablaEgreso[[#This Row],[Egreso Total]]*TablaEgreso[[#This Row],[% de Crédito Fiscal]]</f>
        <v>0</v>
      </c>
      <c r="K21" s="146">
        <v>4000</v>
      </c>
    </row>
    <row r="22" spans="2:11" ht="20.100000000000001" customHeight="1" x14ac:dyDescent="0.25">
      <c r="B22" s="140">
        <v>45635</v>
      </c>
      <c r="C22" s="127" t="str">
        <f>IF(Egresos!$B127="","",TEXT(Egresos!$B127,"MMMM" ))</f>
        <v>diciembre</v>
      </c>
      <c r="D22" s="16" t="s">
        <v>113</v>
      </c>
      <c r="E22" s="17" t="s">
        <v>252</v>
      </c>
      <c r="F22" s="16" t="s">
        <v>119</v>
      </c>
      <c r="G22" s="35">
        <f>TablaEgreso[[#This Row],[Egreso Total]]-TablaEgreso[[#This Row],[Total Crédito Fiscal]]</f>
        <v>22309.7</v>
      </c>
      <c r="H22" s="16"/>
      <c r="I22" s="31">
        <f>IF(TablaEgreso[[#This Row],[Crédito Fiscal]]="Si",Configuración!$B$26,0)</f>
        <v>0</v>
      </c>
      <c r="J22" s="32">
        <f>TablaEgreso[[#This Row],[Egreso Total]]*TablaEgreso[[#This Row],[% de Crédito Fiscal]]</f>
        <v>0</v>
      </c>
      <c r="K22" s="146">
        <v>22309.7</v>
      </c>
    </row>
    <row r="23" spans="2:11" ht="20.100000000000001" customHeight="1" x14ac:dyDescent="0.25">
      <c r="B23" s="140">
        <v>45629</v>
      </c>
      <c r="C23" s="127" t="str">
        <f>IF(Egresos!$B23="","",TEXT(Egresos!$B23,"MMMM" ))</f>
        <v>diciembre</v>
      </c>
      <c r="D23" s="16" t="s">
        <v>146</v>
      </c>
      <c r="E23" s="17" t="s">
        <v>163</v>
      </c>
      <c r="F23" s="16" t="s">
        <v>123</v>
      </c>
      <c r="G23" s="35">
        <f>TablaEgreso[[#This Row],[Egreso Total]]-TablaEgreso[[#This Row],[Total Crédito Fiscal]]</f>
        <v>67176.070000000007</v>
      </c>
      <c r="H23" s="16"/>
      <c r="I23" s="31">
        <f>IF(TablaEgreso[[#This Row],[Crédito Fiscal]]="Si",Configuración!$B$26,0)</f>
        <v>0</v>
      </c>
      <c r="J23" s="32">
        <f>TablaEgreso[[#This Row],[Egreso Total]]*TablaEgreso[[#This Row],[% de Crédito Fiscal]]</f>
        <v>0</v>
      </c>
      <c r="K23" s="146">
        <v>67176.070000000007</v>
      </c>
    </row>
    <row r="24" spans="2:11" ht="20.100000000000001" customHeight="1" x14ac:dyDescent="0.25">
      <c r="B24" s="140">
        <v>45629</v>
      </c>
      <c r="C24" s="127" t="str">
        <f>IF(Egresos!$B24="","",TEXT(Egresos!$B24,"MMMM" ))</f>
        <v>diciembre</v>
      </c>
      <c r="D24" s="16" t="s">
        <v>113</v>
      </c>
      <c r="E24" s="17" t="s">
        <v>187</v>
      </c>
      <c r="F24" s="16" t="s">
        <v>118</v>
      </c>
      <c r="G24" s="35">
        <f>TablaEgreso[[#This Row],[Egreso Total]]-TablaEgreso[[#This Row],[Total Crédito Fiscal]]</f>
        <v>132000</v>
      </c>
      <c r="H24" s="16"/>
      <c r="I24" s="31">
        <f>IF(TablaEgreso[[#This Row],[Crédito Fiscal]]="Si",Configuración!$B$26,0)</f>
        <v>0</v>
      </c>
      <c r="J24" s="32">
        <f>TablaEgreso[[#This Row],[Egreso Total]]*TablaEgreso[[#This Row],[% de Crédito Fiscal]]</f>
        <v>0</v>
      </c>
      <c r="K24" s="146">
        <v>132000</v>
      </c>
    </row>
    <row r="25" spans="2:11" ht="20.100000000000001" customHeight="1" x14ac:dyDescent="0.25">
      <c r="B25" s="140">
        <v>45629</v>
      </c>
      <c r="C25" s="127" t="str">
        <f>IF(Egresos!$B25="","",TEXT(Egresos!$B25,"MMMM" ))</f>
        <v>diciembre</v>
      </c>
      <c r="D25" s="16" t="s">
        <v>106</v>
      </c>
      <c r="E25" s="17" t="s">
        <v>164</v>
      </c>
      <c r="F25" s="16" t="s">
        <v>118</v>
      </c>
      <c r="G25" s="35">
        <f>TablaEgreso[[#This Row],[Egreso Total]]-TablaEgreso[[#This Row],[Total Crédito Fiscal]]</f>
        <v>20000</v>
      </c>
      <c r="H25" s="16"/>
      <c r="I25" s="31">
        <f>IF(TablaEgreso[[#This Row],[Crédito Fiscal]]="Si",Configuración!$B$26,0)</f>
        <v>0</v>
      </c>
      <c r="J25" s="32">
        <f>TablaEgreso[[#This Row],[Egreso Total]]*TablaEgreso[[#This Row],[% de Crédito Fiscal]]</f>
        <v>0</v>
      </c>
      <c r="K25" s="146">
        <v>20000</v>
      </c>
    </row>
    <row r="26" spans="2:11" ht="20.100000000000001" customHeight="1" x14ac:dyDescent="0.25">
      <c r="B26" s="140">
        <v>45629</v>
      </c>
      <c r="C26" s="127" t="str">
        <f>IF(Egresos!$B26="","",TEXT(Egresos!$B26,"MMMM" ))</f>
        <v>diciembre</v>
      </c>
      <c r="D26" s="16" t="s">
        <v>108</v>
      </c>
      <c r="E26" s="17" t="s">
        <v>165</v>
      </c>
      <c r="F26" s="16" t="s">
        <v>118</v>
      </c>
      <c r="G26" s="35">
        <f>TablaEgreso[[#This Row],[Egreso Total]]-TablaEgreso[[#This Row],[Total Crédito Fiscal]]</f>
        <v>140000</v>
      </c>
      <c r="H26" s="16"/>
      <c r="I26" s="31">
        <f>IF(TablaEgreso[[#This Row],[Crédito Fiscal]]="Si",Configuración!$B$26,0)</f>
        <v>0</v>
      </c>
      <c r="J26" s="32">
        <f>TablaEgreso[[#This Row],[Egreso Total]]*TablaEgreso[[#This Row],[% de Crédito Fiscal]]</f>
        <v>0</v>
      </c>
      <c r="K26" s="146">
        <v>140000</v>
      </c>
    </row>
    <row r="27" spans="2:11" ht="20.100000000000001" customHeight="1" x14ac:dyDescent="0.25">
      <c r="B27" s="140">
        <v>45629</v>
      </c>
      <c r="C27" s="127" t="str">
        <f>IF(Egresos!$B27="","",TEXT(Egresos!$B27,"MMMM" ))</f>
        <v>diciembre</v>
      </c>
      <c r="D27" s="16" t="s">
        <v>101</v>
      </c>
      <c r="E27" s="17" t="s">
        <v>166</v>
      </c>
      <c r="F27" s="16" t="s">
        <v>118</v>
      </c>
      <c r="G27" s="35">
        <f>TablaEgreso[[#This Row],[Egreso Total]]-TablaEgreso[[#This Row],[Total Crédito Fiscal]]</f>
        <v>65000</v>
      </c>
      <c r="H27" s="16"/>
      <c r="I27" s="31">
        <f>IF(TablaEgreso[[#This Row],[Crédito Fiscal]]="Si",Configuración!$B$26,0)</f>
        <v>0</v>
      </c>
      <c r="J27" s="32">
        <f>TablaEgreso[[#This Row],[Egreso Total]]*TablaEgreso[[#This Row],[% de Crédito Fiscal]]</f>
        <v>0</v>
      </c>
      <c r="K27" s="146">
        <v>65000</v>
      </c>
    </row>
    <row r="28" spans="2:11" ht="20.100000000000001" customHeight="1" x14ac:dyDescent="0.25">
      <c r="B28" s="140">
        <v>45636</v>
      </c>
      <c r="C28" s="127" t="str">
        <f>IF(Egresos!$B158="","",TEXT(Egresos!$B158,"MMMM" ))</f>
        <v>diciembre</v>
      </c>
      <c r="D28" s="16" t="s">
        <v>113</v>
      </c>
      <c r="E28" s="17" t="s">
        <v>279</v>
      </c>
      <c r="F28" s="16" t="s">
        <v>119</v>
      </c>
      <c r="G28" s="35">
        <f>TablaEgreso[[#This Row],[Egreso Total]]-TablaEgreso[[#This Row],[Total Crédito Fiscal]]</f>
        <v>10920</v>
      </c>
      <c r="H28" s="16"/>
      <c r="I28" s="31">
        <f>IF(TablaEgreso[[#This Row],[Crédito Fiscal]]="Si",Configuración!$B$26,0)</f>
        <v>0</v>
      </c>
      <c r="J28" s="32">
        <f>TablaEgreso[[#This Row],[Egreso Total]]*TablaEgreso[[#This Row],[% de Crédito Fiscal]]</f>
        <v>0</v>
      </c>
      <c r="K28" s="146">
        <v>10920</v>
      </c>
    </row>
    <row r="29" spans="2:11" ht="20.100000000000001" customHeight="1" x14ac:dyDescent="0.25">
      <c r="B29" s="140">
        <v>45642</v>
      </c>
      <c r="C29" s="127" t="str">
        <f>IF(Egresos!$B287="","",TEXT(Egresos!$B287,"MMMM" ))</f>
        <v>diciembre</v>
      </c>
      <c r="D29" s="16" t="s">
        <v>113</v>
      </c>
      <c r="E29" s="17" t="s">
        <v>386</v>
      </c>
      <c r="F29" s="16" t="s">
        <v>119</v>
      </c>
      <c r="G29" s="35">
        <f>TablaEgreso[[#This Row],[Egreso Total]]-TablaEgreso[[#This Row],[Total Crédito Fiscal]]</f>
        <v>33000</v>
      </c>
      <c r="H29" s="16"/>
      <c r="I29" s="31">
        <f>IF(TablaEgreso[[#This Row],[Crédito Fiscal]]="Si",Configuración!$B$26,0)</f>
        <v>0</v>
      </c>
      <c r="J29" s="32">
        <f>TablaEgreso[[#This Row],[Egreso Total]]*TablaEgreso[[#This Row],[% de Crédito Fiscal]]</f>
        <v>0</v>
      </c>
      <c r="K29" s="146">
        <v>33000</v>
      </c>
    </row>
    <row r="30" spans="2:11" ht="20.100000000000001" customHeight="1" x14ac:dyDescent="0.25">
      <c r="B30" s="140">
        <v>45639</v>
      </c>
      <c r="C30" s="127" t="str">
        <f>IF(Egresos!$B268="","",TEXT(Egresos!$B268,"MMMM" ))</f>
        <v>diciembre</v>
      </c>
      <c r="D30" s="16" t="s">
        <v>112</v>
      </c>
      <c r="E30" s="17" t="s">
        <v>373</v>
      </c>
      <c r="F30" s="16" t="s">
        <v>119</v>
      </c>
      <c r="G30" s="35">
        <f>TablaEgreso[[#This Row],[Egreso Total]]-TablaEgreso[[#This Row],[Total Crédito Fiscal]]</f>
        <v>800</v>
      </c>
      <c r="H30" s="16"/>
      <c r="I30" s="31">
        <f>IF(TablaEgreso[[#This Row],[Crédito Fiscal]]="Si",Configuración!$B$26,0)</f>
        <v>0</v>
      </c>
      <c r="J30" s="32">
        <f>TablaEgreso[[#This Row],[Egreso Total]]*TablaEgreso[[#This Row],[% de Crédito Fiscal]]</f>
        <v>0</v>
      </c>
      <c r="K30" s="146">
        <v>800</v>
      </c>
    </row>
    <row r="31" spans="2:11" ht="20.100000000000001" customHeight="1" x14ac:dyDescent="0.25">
      <c r="B31" s="140">
        <v>45629</v>
      </c>
      <c r="C31" s="127" t="str">
        <f>IF(Egresos!$B31="","",TEXT(Egresos!$B31,"MMMM" ))</f>
        <v>diciembre</v>
      </c>
      <c r="D31" s="16" t="s">
        <v>114</v>
      </c>
      <c r="E31" s="17" t="s">
        <v>170</v>
      </c>
      <c r="F31" s="16" t="s">
        <v>118</v>
      </c>
      <c r="G31" s="35">
        <f>TablaEgreso[[#This Row],[Egreso Total]]-TablaEgreso[[#This Row],[Total Crédito Fiscal]]</f>
        <v>0</v>
      </c>
      <c r="H31" s="16"/>
      <c r="I31" s="31">
        <f>IF(TablaEgreso[[#This Row],[Crédito Fiscal]]="Si",Configuración!$B$26,0)</f>
        <v>0</v>
      </c>
      <c r="J31" s="32">
        <f>TablaEgreso[[#This Row],[Egreso Total]]*TablaEgreso[[#This Row],[% de Crédito Fiscal]]</f>
        <v>0</v>
      </c>
      <c r="K31" s="146">
        <v>0</v>
      </c>
    </row>
    <row r="32" spans="2:11" ht="20.100000000000001" customHeight="1" x14ac:dyDescent="0.25">
      <c r="B32" s="140">
        <v>45629</v>
      </c>
      <c r="C32" s="127" t="str">
        <f>IF(Egresos!$B32="","",TEXT(Egresos!$B32,"MMMM" ))</f>
        <v>diciembre</v>
      </c>
      <c r="D32" s="16" t="s">
        <v>113</v>
      </c>
      <c r="E32" s="17" t="s">
        <v>171</v>
      </c>
      <c r="F32" s="16" t="s">
        <v>120</v>
      </c>
      <c r="G32" s="35">
        <f>TablaEgreso[[#This Row],[Egreso Total]]-TablaEgreso[[#This Row],[Total Crédito Fiscal]]</f>
        <v>94000</v>
      </c>
      <c r="H32" s="16"/>
      <c r="I32" s="31">
        <f>IF(TablaEgreso[[#This Row],[Crédito Fiscal]]="Si",Configuración!$B$26,0)</f>
        <v>0</v>
      </c>
      <c r="J32" s="32">
        <f>TablaEgreso[[#This Row],[Egreso Total]]*TablaEgreso[[#This Row],[% de Crédito Fiscal]]</f>
        <v>0</v>
      </c>
      <c r="K32" s="146">
        <v>94000</v>
      </c>
    </row>
    <row r="33" spans="2:11" ht="20.100000000000001" customHeight="1" x14ac:dyDescent="0.25">
      <c r="B33" s="140">
        <v>45629</v>
      </c>
      <c r="C33" s="127" t="str">
        <f>IF(Egresos!$B33="","",TEXT(Egresos!$B33,"MMMM" ))</f>
        <v>diciembre</v>
      </c>
      <c r="D33" s="16" t="s">
        <v>113</v>
      </c>
      <c r="E33" s="17" t="s">
        <v>172</v>
      </c>
      <c r="F33" s="16" t="s">
        <v>120</v>
      </c>
      <c r="G33" s="35">
        <f>TablaEgreso[[#This Row],[Egreso Total]]-TablaEgreso[[#This Row],[Total Crédito Fiscal]]</f>
        <v>3000</v>
      </c>
      <c r="H33" s="16"/>
      <c r="I33" s="31">
        <f>IF(TablaEgreso[[#This Row],[Crédito Fiscal]]="Si",Configuración!$B$26,0)</f>
        <v>0</v>
      </c>
      <c r="J33" s="32">
        <f>TablaEgreso[[#This Row],[Egreso Total]]*TablaEgreso[[#This Row],[% de Crédito Fiscal]]</f>
        <v>0</v>
      </c>
      <c r="K33" s="146">
        <v>3000</v>
      </c>
    </row>
    <row r="34" spans="2:11" ht="20.100000000000001" customHeight="1" x14ac:dyDescent="0.25">
      <c r="B34" s="140">
        <v>45629</v>
      </c>
      <c r="C34" s="127" t="str">
        <f>IF(Egresos!$B34="","",TEXT(Egresos!$B34,"MMMM" ))</f>
        <v>diciembre</v>
      </c>
      <c r="D34" s="16" t="s">
        <v>101</v>
      </c>
      <c r="E34" s="17" t="s">
        <v>173</v>
      </c>
      <c r="F34" s="16" t="s">
        <v>120</v>
      </c>
      <c r="G34" s="35">
        <f>TablaEgreso[[#This Row],[Egreso Total]]-TablaEgreso[[#This Row],[Total Crédito Fiscal]]</f>
        <v>48499.99</v>
      </c>
      <c r="H34" s="16"/>
      <c r="I34" s="31">
        <f>IF(TablaEgreso[[#This Row],[Crédito Fiscal]]="Si",Configuración!$B$26,0)</f>
        <v>0</v>
      </c>
      <c r="J34" s="32">
        <f>TablaEgreso[[#This Row],[Egreso Total]]*TablaEgreso[[#This Row],[% de Crédito Fiscal]]</f>
        <v>0</v>
      </c>
      <c r="K34" s="146">
        <v>48499.99</v>
      </c>
    </row>
    <row r="35" spans="2:11" ht="20.100000000000001" customHeight="1" x14ac:dyDescent="0.25">
      <c r="B35" s="140">
        <v>45630</v>
      </c>
      <c r="C35" s="127" t="str">
        <f>IF(Egresos!$B35="","",TEXT(Egresos!$B35,"MMMM" ))</f>
        <v>diciembre</v>
      </c>
      <c r="D35" s="16" t="s">
        <v>144</v>
      </c>
      <c r="E35" s="17" t="s">
        <v>174</v>
      </c>
      <c r="F35" s="16" t="s">
        <v>118</v>
      </c>
      <c r="G35" s="35">
        <f>TablaEgreso[[#This Row],[Egreso Total]]-TablaEgreso[[#This Row],[Total Crédito Fiscal]]</f>
        <v>1000000</v>
      </c>
      <c r="H35" s="16"/>
      <c r="I35" s="31">
        <f>IF(TablaEgreso[[#This Row],[Crédito Fiscal]]="Si",Configuración!$B$26,0)</f>
        <v>0</v>
      </c>
      <c r="J35" s="32">
        <f>TablaEgreso[[#This Row],[Egreso Total]]*TablaEgreso[[#This Row],[% de Crédito Fiscal]]</f>
        <v>0</v>
      </c>
      <c r="K35" s="146">
        <v>1000000</v>
      </c>
    </row>
    <row r="36" spans="2:11" ht="20.100000000000001" customHeight="1" x14ac:dyDescent="0.25">
      <c r="B36" s="140">
        <v>45630</v>
      </c>
      <c r="C36" s="127" t="str">
        <f>IF(Egresos!$B36="","",TEXT(Egresos!$B36,"MMMM" ))</f>
        <v>diciembre</v>
      </c>
      <c r="D36" s="16" t="s">
        <v>19</v>
      </c>
      <c r="E36" s="17" t="s">
        <v>175</v>
      </c>
      <c r="F36" s="16" t="s">
        <v>118</v>
      </c>
      <c r="G36" s="35">
        <f>TablaEgreso[[#This Row],[Egreso Total]]-TablaEgreso[[#This Row],[Total Crédito Fiscal]]</f>
        <v>47750</v>
      </c>
      <c r="H36" s="16"/>
      <c r="I36" s="31">
        <f>IF(TablaEgreso[[#This Row],[Crédito Fiscal]]="Si",Configuración!$B$26,0)</f>
        <v>0</v>
      </c>
      <c r="J36" s="32">
        <f>TablaEgreso[[#This Row],[Egreso Total]]*TablaEgreso[[#This Row],[% de Crédito Fiscal]]</f>
        <v>0</v>
      </c>
      <c r="K36" s="146">
        <v>47750</v>
      </c>
    </row>
    <row r="37" spans="2:11" ht="20.100000000000001" customHeight="1" x14ac:dyDescent="0.25">
      <c r="B37" s="140">
        <v>45630</v>
      </c>
      <c r="C37" s="127" t="str">
        <f>IF(Egresos!$B37="","",TEXT(Egresos!$B37,"MMMM" ))</f>
        <v>diciembre</v>
      </c>
      <c r="D37" s="16" t="s">
        <v>101</v>
      </c>
      <c r="E37" s="17" t="s">
        <v>394</v>
      </c>
      <c r="F37" s="16" t="s">
        <v>118</v>
      </c>
      <c r="G37" s="35">
        <f>TablaEgreso[[#This Row],[Egreso Total]]-TablaEgreso[[#This Row],[Total Crédito Fiscal]]</f>
        <v>170000</v>
      </c>
      <c r="H37" s="16"/>
      <c r="I37" s="31">
        <f>IF(TablaEgreso[[#This Row],[Crédito Fiscal]]="Si",Configuración!$B$26,0)</f>
        <v>0</v>
      </c>
      <c r="J37" s="32">
        <f>TablaEgreso[[#This Row],[Egreso Total]]*TablaEgreso[[#This Row],[% de Crédito Fiscal]]</f>
        <v>0</v>
      </c>
      <c r="K37" s="146">
        <v>170000</v>
      </c>
    </row>
    <row r="38" spans="2:11" ht="20.100000000000001" customHeight="1" x14ac:dyDescent="0.25">
      <c r="B38" s="140">
        <v>45630</v>
      </c>
      <c r="C38" s="127" t="str">
        <f>IF(Egresos!$B38="","",TEXT(Egresos!$B38,"MMMM" ))</f>
        <v>diciembre</v>
      </c>
      <c r="D38" s="16" t="s">
        <v>101</v>
      </c>
      <c r="E38" s="17" t="s">
        <v>176</v>
      </c>
      <c r="F38" s="16" t="s">
        <v>118</v>
      </c>
      <c r="G38" s="35">
        <f>TablaEgreso[[#This Row],[Egreso Total]]-TablaEgreso[[#This Row],[Total Crédito Fiscal]]</f>
        <v>39000</v>
      </c>
      <c r="H38" s="16"/>
      <c r="I38" s="31">
        <f>IF(TablaEgreso[[#This Row],[Crédito Fiscal]]="Si",Configuración!$B$26,0)</f>
        <v>0</v>
      </c>
      <c r="J38" s="32">
        <f>TablaEgreso[[#This Row],[Egreso Total]]*TablaEgreso[[#This Row],[% de Crédito Fiscal]]</f>
        <v>0</v>
      </c>
      <c r="K38" s="146">
        <v>39000</v>
      </c>
    </row>
    <row r="39" spans="2:11" ht="20.100000000000001" customHeight="1" x14ac:dyDescent="0.25">
      <c r="B39" s="140">
        <v>45632</v>
      </c>
      <c r="C39" s="127" t="str">
        <f>IF(Egresos!$B120="","",TEXT(Egresos!$B120,"MMMM" ))</f>
        <v>diciembre</v>
      </c>
      <c r="D39" s="16" t="s">
        <v>146</v>
      </c>
      <c r="E39" s="17" t="s">
        <v>244</v>
      </c>
      <c r="F39" s="16" t="s">
        <v>13</v>
      </c>
      <c r="G39" s="35">
        <f>TablaEgreso[[#This Row],[Egreso Total]]-TablaEgreso[[#This Row],[Total Crédito Fiscal]]</f>
        <v>20816.43</v>
      </c>
      <c r="H39" s="16"/>
      <c r="I39" s="31">
        <f>IF(TablaEgreso[[#This Row],[Crédito Fiscal]]="Si",Configuración!$B$26,0)</f>
        <v>0</v>
      </c>
      <c r="J39" s="32">
        <f>TablaEgreso[[#This Row],[Egreso Total]]*TablaEgreso[[#This Row],[% de Crédito Fiscal]]</f>
        <v>0</v>
      </c>
      <c r="K39" s="146">
        <v>20816.43</v>
      </c>
    </row>
    <row r="40" spans="2:11" ht="20.100000000000001" customHeight="1" x14ac:dyDescent="0.25">
      <c r="B40" s="140">
        <v>45635</v>
      </c>
      <c r="C40" s="127" t="str">
        <f>IF(Egresos!$B119="","",TEXT(Egresos!$B119,"MMMM" ))</f>
        <v>diciembre</v>
      </c>
      <c r="D40" s="16" t="s">
        <v>146</v>
      </c>
      <c r="E40" s="17" t="s">
        <v>243</v>
      </c>
      <c r="F40" s="16" t="s">
        <v>123</v>
      </c>
      <c r="G40" s="35">
        <f>TablaEgreso[[#This Row],[Egreso Total]]-TablaEgreso[[#This Row],[Total Crédito Fiscal]]</f>
        <v>20816.43</v>
      </c>
      <c r="H40" s="16"/>
      <c r="I40" s="31">
        <f>IF(TablaEgreso[[#This Row],[Crédito Fiscal]]="Si",Configuración!$B$26,0)</f>
        <v>0</v>
      </c>
      <c r="J40" s="32">
        <f>TablaEgreso[[#This Row],[Egreso Total]]*TablaEgreso[[#This Row],[% de Crédito Fiscal]]</f>
        <v>0</v>
      </c>
      <c r="K40" s="146">
        <v>20816.43</v>
      </c>
    </row>
    <row r="41" spans="2:11" ht="20.100000000000001" customHeight="1" x14ac:dyDescent="0.25">
      <c r="B41" s="140">
        <v>45631</v>
      </c>
      <c r="C41" s="127" t="str">
        <f>IF(Egresos!$B41="","",TEXT(Egresos!$B41,"MMMM" ))</f>
        <v>diciembre</v>
      </c>
      <c r="D41" s="16" t="s">
        <v>109</v>
      </c>
      <c r="E41" s="17" t="s">
        <v>179</v>
      </c>
      <c r="F41" s="16" t="s">
        <v>13</v>
      </c>
      <c r="G41" s="35">
        <f>TablaEgreso[[#This Row],[Egreso Total]]-TablaEgreso[[#This Row],[Total Crédito Fiscal]]</f>
        <v>21885.279999999999</v>
      </c>
      <c r="H41" s="16"/>
      <c r="I41" s="31">
        <f>IF(TablaEgreso[[#This Row],[Crédito Fiscal]]="Si",Configuración!$B$26,0)</f>
        <v>0</v>
      </c>
      <c r="J41" s="32">
        <f>TablaEgreso[[#This Row],[Egreso Total]]*TablaEgreso[[#This Row],[% de Crédito Fiscal]]</f>
        <v>0</v>
      </c>
      <c r="K41" s="146">
        <v>21885.279999999999</v>
      </c>
    </row>
    <row r="42" spans="2:11" ht="20.100000000000001" customHeight="1" x14ac:dyDescent="0.25">
      <c r="B42" s="140">
        <v>45631</v>
      </c>
      <c r="C42" s="127" t="str">
        <f>IF(Egresos!$B42="","",TEXT(Egresos!$B42,"MMMM" ))</f>
        <v>diciembre</v>
      </c>
      <c r="D42" s="16" t="s">
        <v>109</v>
      </c>
      <c r="E42" s="17" t="s">
        <v>180</v>
      </c>
      <c r="F42" s="16" t="s">
        <v>13</v>
      </c>
      <c r="G42" s="35">
        <f>TablaEgreso[[#This Row],[Egreso Total]]-TablaEgreso[[#This Row],[Total Crédito Fiscal]]</f>
        <v>25217.21</v>
      </c>
      <c r="H42" s="16"/>
      <c r="I42" s="31">
        <f>IF(TablaEgreso[[#This Row],[Crédito Fiscal]]="Si",Configuración!$B$26,0)</f>
        <v>0</v>
      </c>
      <c r="J42" s="32">
        <f>TablaEgreso[[#This Row],[Egreso Total]]*TablaEgreso[[#This Row],[% de Crédito Fiscal]]</f>
        <v>0</v>
      </c>
      <c r="K42" s="146">
        <v>25217.21</v>
      </c>
    </row>
    <row r="43" spans="2:11" ht="20.100000000000001" customHeight="1" x14ac:dyDescent="0.25">
      <c r="B43" s="140">
        <v>45631</v>
      </c>
      <c r="C43" s="127" t="str">
        <f>IF(Egresos!$B43="","",TEXT(Egresos!$B43,"MMMM" ))</f>
        <v>diciembre</v>
      </c>
      <c r="D43" s="16" t="s">
        <v>110</v>
      </c>
      <c r="E43" s="17" t="s">
        <v>181</v>
      </c>
      <c r="F43" s="16" t="s">
        <v>13</v>
      </c>
      <c r="G43" s="35">
        <f>TablaEgreso[[#This Row],[Egreso Total]]-TablaEgreso[[#This Row],[Total Crédito Fiscal]]</f>
        <v>24225.77</v>
      </c>
      <c r="H43" s="16"/>
      <c r="I43" s="31">
        <f>IF(TablaEgreso[[#This Row],[Crédito Fiscal]]="Si",Configuración!$B$26,0)</f>
        <v>0</v>
      </c>
      <c r="J43" s="32">
        <f>TablaEgreso[[#This Row],[Egreso Total]]*TablaEgreso[[#This Row],[% de Crédito Fiscal]]</f>
        <v>0</v>
      </c>
      <c r="K43" s="146">
        <v>24225.77</v>
      </c>
    </row>
    <row r="44" spans="2:11" ht="20.100000000000001" customHeight="1" x14ac:dyDescent="0.25">
      <c r="B44" s="140">
        <v>45631</v>
      </c>
      <c r="C44" s="127" t="str">
        <f>IF(Egresos!$B44="","",TEXT(Egresos!$B44,"MMMM" ))</f>
        <v>diciembre</v>
      </c>
      <c r="D44" s="16" t="s">
        <v>102</v>
      </c>
      <c r="E44" s="17" t="s">
        <v>182</v>
      </c>
      <c r="F44" s="16" t="s">
        <v>13</v>
      </c>
      <c r="G44" s="35">
        <f>TablaEgreso[[#This Row],[Egreso Total]]-TablaEgreso[[#This Row],[Total Crédito Fiscal]]</f>
        <v>21000</v>
      </c>
      <c r="H44" s="16"/>
      <c r="I44" s="31">
        <f>IF(TablaEgreso[[#This Row],[Crédito Fiscal]]="Si",Configuración!$B$26,0)</f>
        <v>0</v>
      </c>
      <c r="J44" s="32">
        <f>TablaEgreso[[#This Row],[Egreso Total]]*TablaEgreso[[#This Row],[% de Crédito Fiscal]]</f>
        <v>0</v>
      </c>
      <c r="K44" s="146">
        <v>21000</v>
      </c>
    </row>
    <row r="45" spans="2:11" ht="20.100000000000001" customHeight="1" x14ac:dyDescent="0.25">
      <c r="B45" s="140">
        <v>45631</v>
      </c>
      <c r="C45" s="127" t="str">
        <f>IF(Egresos!$B45="","",TEXT(Egresos!$B45,"MMMM" ))</f>
        <v>diciembre</v>
      </c>
      <c r="D45" s="16" t="s">
        <v>113</v>
      </c>
      <c r="E45" s="17" t="s">
        <v>183</v>
      </c>
      <c r="F45" s="16" t="s">
        <v>13</v>
      </c>
      <c r="G45" s="35">
        <f>TablaEgreso[[#This Row],[Egreso Total]]-TablaEgreso[[#This Row],[Total Crédito Fiscal]]</f>
        <v>1484058.37</v>
      </c>
      <c r="H45" s="16"/>
      <c r="I45" s="31">
        <f>IF(TablaEgreso[[#This Row],[Crédito Fiscal]]="Si",Configuración!$B$26,0)</f>
        <v>0</v>
      </c>
      <c r="J45" s="32">
        <f>TablaEgreso[[#This Row],[Egreso Total]]*TablaEgreso[[#This Row],[% de Crédito Fiscal]]</f>
        <v>0</v>
      </c>
      <c r="K45" s="146">
        <v>1484058.37</v>
      </c>
    </row>
    <row r="46" spans="2:11" ht="20.100000000000001" customHeight="1" x14ac:dyDescent="0.25">
      <c r="B46" s="140">
        <v>45631</v>
      </c>
      <c r="C46" s="127" t="str">
        <f>IF(Egresos!$B46="","",TEXT(Egresos!$B46,"MMMM" ))</f>
        <v>diciembre</v>
      </c>
      <c r="D46" s="16" t="s">
        <v>113</v>
      </c>
      <c r="E46" s="17" t="s">
        <v>184</v>
      </c>
      <c r="F46" s="16" t="s">
        <v>13</v>
      </c>
      <c r="G46" s="35">
        <f>TablaEgreso[[#This Row],[Egreso Total]]-TablaEgreso[[#This Row],[Total Crédito Fiscal]]</f>
        <v>279244.53999999998</v>
      </c>
      <c r="H46" s="16"/>
      <c r="I46" s="31">
        <f>IF(TablaEgreso[[#This Row],[Crédito Fiscal]]="Si",Configuración!$B$26,0)</f>
        <v>0</v>
      </c>
      <c r="J46" s="32">
        <f>TablaEgreso[[#This Row],[Egreso Total]]*TablaEgreso[[#This Row],[% de Crédito Fiscal]]</f>
        <v>0</v>
      </c>
      <c r="K46" s="146">
        <v>279244.53999999998</v>
      </c>
    </row>
    <row r="47" spans="2:11" ht="20.100000000000001" customHeight="1" x14ac:dyDescent="0.25">
      <c r="B47" s="140">
        <v>45631</v>
      </c>
      <c r="C47" s="127" t="str">
        <f>IF(Egresos!$B47="","",TEXT(Egresos!$B47,"MMMM" ))</f>
        <v>diciembre</v>
      </c>
      <c r="D47" s="16" t="s">
        <v>113</v>
      </c>
      <c r="E47" s="17" t="s">
        <v>183</v>
      </c>
      <c r="F47" s="16" t="s">
        <v>13</v>
      </c>
      <c r="G47" s="35">
        <f>TablaEgreso[[#This Row],[Egreso Total]]-TablaEgreso[[#This Row],[Total Crédito Fiscal]]</f>
        <v>153304.82</v>
      </c>
      <c r="H47" s="16"/>
      <c r="I47" s="31">
        <f>IF(TablaEgreso[[#This Row],[Crédito Fiscal]]="Si",Configuración!$B$26,0)</f>
        <v>0</v>
      </c>
      <c r="J47" s="32">
        <f>TablaEgreso[[#This Row],[Egreso Total]]*TablaEgreso[[#This Row],[% de Crédito Fiscal]]</f>
        <v>0</v>
      </c>
      <c r="K47" s="146">
        <v>153304.82</v>
      </c>
    </row>
    <row r="48" spans="2:11" ht="20.100000000000001" customHeight="1" x14ac:dyDescent="0.25">
      <c r="B48" s="140">
        <v>45631</v>
      </c>
      <c r="C48" s="127" t="str">
        <f>IF(Egresos!$B48="","",TEXT(Egresos!$B48,"MMMM" ))</f>
        <v>diciembre</v>
      </c>
      <c r="D48" s="16" t="s">
        <v>113</v>
      </c>
      <c r="E48" s="17" t="s">
        <v>183</v>
      </c>
      <c r="F48" s="16" t="s">
        <v>13</v>
      </c>
      <c r="G48" s="35">
        <f>TablaEgreso[[#This Row],[Egreso Total]]-TablaEgreso[[#This Row],[Total Crédito Fiscal]]</f>
        <v>142492.5</v>
      </c>
      <c r="H48" s="16"/>
      <c r="I48" s="31">
        <f>IF(TablaEgreso[[#This Row],[Crédito Fiscal]]="Si",Configuración!$B$26,0)</f>
        <v>0</v>
      </c>
      <c r="J48" s="32">
        <f>TablaEgreso[[#This Row],[Egreso Total]]*TablaEgreso[[#This Row],[% de Crédito Fiscal]]</f>
        <v>0</v>
      </c>
      <c r="K48" s="146">
        <v>142492.5</v>
      </c>
    </row>
    <row r="49" spans="2:11" ht="20.100000000000001" customHeight="1" x14ac:dyDescent="0.25">
      <c r="B49" s="140">
        <v>45638</v>
      </c>
      <c r="C49" s="127" t="str">
        <f>IF(Egresos!$B213="","",TEXT(Egresos!$B213,"MMMM" ))</f>
        <v>diciembre</v>
      </c>
      <c r="D49" s="16" t="s">
        <v>109</v>
      </c>
      <c r="E49" s="17" t="s">
        <v>328</v>
      </c>
      <c r="F49" s="16" t="s">
        <v>119</v>
      </c>
      <c r="G49" s="35">
        <f>TablaEgreso[[#This Row],[Egreso Total]]-TablaEgreso[[#This Row],[Total Crédito Fiscal]]</f>
        <v>1200</v>
      </c>
      <c r="H49" s="16"/>
      <c r="I49" s="31">
        <f>IF(TablaEgreso[[#This Row],[Crédito Fiscal]]="Si",Configuración!$B$26,0)</f>
        <v>0</v>
      </c>
      <c r="J49" s="32">
        <f>TablaEgreso[[#This Row],[Egreso Total]]*TablaEgreso[[#This Row],[% de Crédito Fiscal]]</f>
        <v>0</v>
      </c>
      <c r="K49" s="146">
        <v>1200</v>
      </c>
    </row>
    <row r="50" spans="2:11" ht="20.100000000000001" customHeight="1" x14ac:dyDescent="0.25">
      <c r="B50" s="140">
        <v>45642</v>
      </c>
      <c r="C50" s="127" t="str">
        <f>IF(Egresos!$B289="","",TEXT(Egresos!$B289,"MMMM" ))</f>
        <v>diciembre</v>
      </c>
      <c r="D50" s="16" t="s">
        <v>99</v>
      </c>
      <c r="E50" s="17" t="s">
        <v>388</v>
      </c>
      <c r="F50" s="16" t="s">
        <v>119</v>
      </c>
      <c r="G50" s="35">
        <f>TablaEgreso[[#This Row],[Egreso Total]]-TablaEgreso[[#This Row],[Total Crédito Fiscal]]</f>
        <v>14000</v>
      </c>
      <c r="H50" s="16"/>
      <c r="I50" s="31">
        <f>IF(TablaEgreso[[#This Row],[Crédito Fiscal]]="Si",Configuración!$B$26,0)</f>
        <v>0</v>
      </c>
      <c r="J50" s="32">
        <f>TablaEgreso[[#This Row],[Egreso Total]]*TablaEgreso[[#This Row],[% de Crédito Fiscal]]</f>
        <v>0</v>
      </c>
      <c r="K50" s="146">
        <v>14000</v>
      </c>
    </row>
    <row r="51" spans="2:11" ht="20.100000000000001" customHeight="1" x14ac:dyDescent="0.25">
      <c r="B51" s="140">
        <v>45631</v>
      </c>
      <c r="C51" s="127" t="str">
        <f>IF(Egresos!$B51="","",TEXT(Egresos!$B51,"MMMM" ))</f>
        <v>diciembre</v>
      </c>
      <c r="D51" s="16" t="s">
        <v>114</v>
      </c>
      <c r="E51" s="17" t="s">
        <v>188</v>
      </c>
      <c r="F51" s="16" t="s">
        <v>119</v>
      </c>
      <c r="G51" s="35">
        <f>TablaEgreso[[#This Row],[Egreso Total]]-TablaEgreso[[#This Row],[Total Crédito Fiscal]]</f>
        <v>0</v>
      </c>
      <c r="H51" s="16"/>
      <c r="I51" s="31">
        <f>IF(TablaEgreso[[#This Row],[Crédito Fiscal]]="Si",Configuración!$B$26,0)</f>
        <v>0</v>
      </c>
      <c r="J51" s="32">
        <f>TablaEgreso[[#This Row],[Egreso Total]]*TablaEgreso[[#This Row],[% de Crédito Fiscal]]</f>
        <v>0</v>
      </c>
      <c r="K51" s="146">
        <v>0</v>
      </c>
    </row>
    <row r="52" spans="2:11" ht="20.100000000000001" customHeight="1" x14ac:dyDescent="0.25">
      <c r="B52" s="140">
        <v>45631</v>
      </c>
      <c r="C52" s="127" t="str">
        <f>IF(Egresos!$B52="","",TEXT(Egresos!$B52,"MMMM" ))</f>
        <v>diciembre</v>
      </c>
      <c r="D52" s="16" t="s">
        <v>108</v>
      </c>
      <c r="E52" s="17" t="s">
        <v>189</v>
      </c>
      <c r="F52" s="16" t="s">
        <v>118</v>
      </c>
      <c r="G52" s="35">
        <f>TablaEgreso[[#This Row],[Egreso Total]]-TablaEgreso[[#This Row],[Total Crédito Fiscal]]</f>
        <v>63500</v>
      </c>
      <c r="H52" s="16"/>
      <c r="I52" s="31">
        <f>IF(TablaEgreso[[#This Row],[Crédito Fiscal]]="Si",Configuración!$B$26,0)</f>
        <v>0</v>
      </c>
      <c r="J52" s="32">
        <f>TablaEgreso[[#This Row],[Egreso Total]]*TablaEgreso[[#This Row],[% de Crédito Fiscal]]</f>
        <v>0</v>
      </c>
      <c r="K52" s="146">
        <v>63500</v>
      </c>
    </row>
    <row r="53" spans="2:11" ht="20.100000000000001" customHeight="1" x14ac:dyDescent="0.25">
      <c r="B53" s="140">
        <v>45631</v>
      </c>
      <c r="C53" s="127" t="str">
        <f>IF(Egresos!$B53="","",TEXT(Egresos!$B53,"MMMM" ))</f>
        <v>diciembre</v>
      </c>
      <c r="D53" s="16" t="s">
        <v>112</v>
      </c>
      <c r="E53" s="17" t="s">
        <v>190</v>
      </c>
      <c r="F53" s="16" t="s">
        <v>118</v>
      </c>
      <c r="G53" s="35">
        <f>TablaEgreso[[#This Row],[Egreso Total]]-TablaEgreso[[#This Row],[Total Crédito Fiscal]]</f>
        <v>25000</v>
      </c>
      <c r="H53" s="16"/>
      <c r="I53" s="31">
        <f>IF(TablaEgreso[[#This Row],[Crédito Fiscal]]="Si",Configuración!$B$26,0)</f>
        <v>0</v>
      </c>
      <c r="J53" s="32">
        <f>TablaEgreso[[#This Row],[Egreso Total]]*TablaEgreso[[#This Row],[% de Crédito Fiscal]]</f>
        <v>0</v>
      </c>
      <c r="K53" s="146">
        <v>25000</v>
      </c>
    </row>
    <row r="54" spans="2:11" ht="20.100000000000001" customHeight="1" x14ac:dyDescent="0.25">
      <c r="B54" s="140">
        <v>45631</v>
      </c>
      <c r="C54" s="127" t="str">
        <f>IF(Egresos!$B54="","",TEXT(Egresos!$B54,"MMMM" ))</f>
        <v>diciembre</v>
      </c>
      <c r="D54" s="16" t="s">
        <v>101</v>
      </c>
      <c r="E54" s="17" t="s">
        <v>191</v>
      </c>
      <c r="F54" s="16" t="s">
        <v>118</v>
      </c>
      <c r="G54" s="35">
        <f>TablaEgreso[[#This Row],[Egreso Total]]-TablaEgreso[[#This Row],[Total Crédito Fiscal]]</f>
        <v>168000</v>
      </c>
      <c r="H54" s="16"/>
      <c r="I54" s="31">
        <f>IF(TablaEgreso[[#This Row],[Crédito Fiscal]]="Si",Configuración!$B$26,0)</f>
        <v>0</v>
      </c>
      <c r="J54" s="32">
        <f>TablaEgreso[[#This Row],[Egreso Total]]*TablaEgreso[[#This Row],[% de Crédito Fiscal]]</f>
        <v>0</v>
      </c>
      <c r="K54" s="146">
        <v>168000</v>
      </c>
    </row>
    <row r="55" spans="2:11" ht="20.100000000000001" customHeight="1" x14ac:dyDescent="0.25">
      <c r="B55" s="140">
        <v>45631</v>
      </c>
      <c r="C55" s="127" t="str">
        <f>IF(Egresos!$B55="","",TEXT(Egresos!$B55,"MMMM" ))</f>
        <v>diciembre</v>
      </c>
      <c r="D55" s="16" t="s">
        <v>114</v>
      </c>
      <c r="E55" s="17" t="s">
        <v>192</v>
      </c>
      <c r="F55" s="16" t="s">
        <v>118</v>
      </c>
      <c r="G55" s="35">
        <f>TablaEgreso[[#This Row],[Egreso Total]]-TablaEgreso[[#This Row],[Total Crédito Fiscal]]</f>
        <v>0</v>
      </c>
      <c r="H55" s="16"/>
      <c r="I55" s="31">
        <f>IF(TablaEgreso[[#This Row],[Crédito Fiscal]]="Si",Configuración!$B$26,0)</f>
        <v>0</v>
      </c>
      <c r="J55" s="32">
        <f>TablaEgreso[[#This Row],[Egreso Total]]*TablaEgreso[[#This Row],[% de Crédito Fiscal]]</f>
        <v>0</v>
      </c>
      <c r="K55" s="146">
        <v>0</v>
      </c>
    </row>
    <row r="56" spans="2:11" ht="20.100000000000001" customHeight="1" x14ac:dyDescent="0.25">
      <c r="B56" s="140">
        <v>45632</v>
      </c>
      <c r="C56" s="127" t="str">
        <f>IF(Egresos!$B56="","",TEXT(Egresos!$B56,"MMMM" ))</f>
        <v>diciembre</v>
      </c>
      <c r="D56" s="16" t="s">
        <v>19</v>
      </c>
      <c r="E56" s="17" t="s">
        <v>193</v>
      </c>
      <c r="F56" s="16" t="s">
        <v>13</v>
      </c>
      <c r="G56" s="35">
        <f>TablaEgreso[[#This Row],[Egreso Total]]-TablaEgreso[[#This Row],[Total Crédito Fiscal]]</f>
        <v>311300</v>
      </c>
      <c r="H56" s="16"/>
      <c r="I56" s="31">
        <f>IF(TablaEgreso[[#This Row],[Crédito Fiscal]]="Si",Configuración!$B$26,0)</f>
        <v>0</v>
      </c>
      <c r="J56" s="32">
        <f>TablaEgreso[[#This Row],[Egreso Total]]*TablaEgreso[[#This Row],[% de Crédito Fiscal]]</f>
        <v>0</v>
      </c>
      <c r="K56" s="146">
        <v>311300</v>
      </c>
    </row>
    <row r="57" spans="2:11" ht="20.100000000000001" customHeight="1" x14ac:dyDescent="0.25">
      <c r="B57" s="140">
        <v>45632</v>
      </c>
      <c r="C57" s="127" t="str">
        <f>IF(Egresos!$B57="","",TEXT(Egresos!$B57,"MMMM" ))</f>
        <v>diciembre</v>
      </c>
      <c r="D57" s="16" t="s">
        <v>19</v>
      </c>
      <c r="E57" s="17" t="s">
        <v>194</v>
      </c>
      <c r="F57" s="16" t="s">
        <v>13</v>
      </c>
      <c r="G57" s="35">
        <f>TablaEgreso[[#This Row],[Egreso Total]]-TablaEgreso[[#This Row],[Total Crédito Fiscal]]</f>
        <v>977000</v>
      </c>
      <c r="H57" s="16"/>
      <c r="I57" s="31">
        <f>IF(TablaEgreso[[#This Row],[Crédito Fiscal]]="Si",Configuración!$B$26,0)</f>
        <v>0</v>
      </c>
      <c r="J57" s="32">
        <f>TablaEgreso[[#This Row],[Egreso Total]]*TablaEgreso[[#This Row],[% de Crédito Fiscal]]</f>
        <v>0</v>
      </c>
      <c r="K57" s="146">
        <v>977000</v>
      </c>
    </row>
    <row r="58" spans="2:11" ht="20.100000000000001" customHeight="1" x14ac:dyDescent="0.25">
      <c r="B58" s="140">
        <v>45632</v>
      </c>
      <c r="C58" s="127" t="str">
        <f>IF(Egresos!$B58="","",TEXT(Egresos!$B58,"MMMM" ))</f>
        <v>diciembre</v>
      </c>
      <c r="D58" s="16" t="s">
        <v>19</v>
      </c>
      <c r="E58" s="17" t="s">
        <v>195</v>
      </c>
      <c r="F58" s="16" t="s">
        <v>13</v>
      </c>
      <c r="G58" s="35">
        <f>TablaEgreso[[#This Row],[Egreso Total]]-TablaEgreso[[#This Row],[Total Crédito Fiscal]]</f>
        <v>362200</v>
      </c>
      <c r="H58" s="16"/>
      <c r="I58" s="31">
        <f>IF(TablaEgreso[[#This Row],[Crédito Fiscal]]="Si",Configuración!$B$26,0)</f>
        <v>0</v>
      </c>
      <c r="J58" s="32">
        <f>TablaEgreso[[#This Row],[Egreso Total]]*TablaEgreso[[#This Row],[% de Crédito Fiscal]]</f>
        <v>0</v>
      </c>
      <c r="K58" s="146">
        <v>362200</v>
      </c>
    </row>
    <row r="59" spans="2:11" ht="20.100000000000001" customHeight="1" x14ac:dyDescent="0.25">
      <c r="B59" s="140">
        <v>45638</v>
      </c>
      <c r="C59" s="127" t="str">
        <f>IF(Egresos!$B219="","",TEXT(Egresos!$B219,"MMMM" ))</f>
        <v>diciembre</v>
      </c>
      <c r="D59" s="16" t="s">
        <v>99</v>
      </c>
      <c r="E59" s="17" t="s">
        <v>334</v>
      </c>
      <c r="F59" s="16" t="s">
        <v>119</v>
      </c>
      <c r="G59" s="35">
        <f>TablaEgreso[[#This Row],[Egreso Total]]-TablaEgreso[[#This Row],[Total Crédito Fiscal]]</f>
        <v>12000</v>
      </c>
      <c r="H59" s="16"/>
      <c r="I59" s="31">
        <f>IF(TablaEgreso[[#This Row],[Crédito Fiscal]]="Si",Configuración!$B$26,0)</f>
        <v>0</v>
      </c>
      <c r="J59" s="32">
        <f>TablaEgreso[[#This Row],[Egreso Total]]*TablaEgreso[[#This Row],[% de Crédito Fiscal]]</f>
        <v>0</v>
      </c>
      <c r="K59" s="146">
        <v>12000</v>
      </c>
    </row>
    <row r="60" spans="2:11" ht="20.100000000000001" customHeight="1" x14ac:dyDescent="0.25">
      <c r="B60" s="140">
        <v>45631</v>
      </c>
      <c r="C60" s="127" t="str">
        <f>IF(Egresos!$B60="","",TEXT(Egresos!$B60,"MMMM" ))</f>
        <v>diciembre</v>
      </c>
      <c r="D60" s="16" t="s">
        <v>113</v>
      </c>
      <c r="E60" s="17" t="s">
        <v>197</v>
      </c>
      <c r="F60" s="16" t="s">
        <v>13</v>
      </c>
      <c r="G60" s="35">
        <f>TablaEgreso[[#This Row],[Egreso Total]]-TablaEgreso[[#This Row],[Total Crédito Fiscal]]</f>
        <v>123750.45</v>
      </c>
      <c r="H60" s="16"/>
      <c r="I60" s="31">
        <f>IF(TablaEgreso[[#This Row],[Crédito Fiscal]]="Si",Configuración!$B$26,0)</f>
        <v>0</v>
      </c>
      <c r="J60" s="32">
        <f>TablaEgreso[[#This Row],[Egreso Total]]*TablaEgreso[[#This Row],[% de Crédito Fiscal]]</f>
        <v>0</v>
      </c>
      <c r="K60" s="146">
        <v>123750.45</v>
      </c>
    </row>
    <row r="61" spans="2:11" ht="20.100000000000001" customHeight="1" x14ac:dyDescent="0.25">
      <c r="B61" s="140">
        <v>45631</v>
      </c>
      <c r="C61" s="127" t="str">
        <f>IF(Egresos!$B61="","",TEXT(Egresos!$B61,"MMMM" ))</f>
        <v>diciembre</v>
      </c>
      <c r="D61" s="16" t="s">
        <v>113</v>
      </c>
      <c r="E61" s="17" t="s">
        <v>198</v>
      </c>
      <c r="F61" s="16" t="s">
        <v>13</v>
      </c>
      <c r="G61" s="35">
        <f>TablaEgreso[[#This Row],[Egreso Total]]-TablaEgreso[[#This Row],[Total Crédito Fiscal]]</f>
        <v>150854</v>
      </c>
      <c r="H61" s="16"/>
      <c r="I61" s="31">
        <f>IF(TablaEgreso[[#This Row],[Crédito Fiscal]]="Si",Configuración!$B$26,0)</f>
        <v>0</v>
      </c>
      <c r="J61" s="32">
        <f>TablaEgreso[[#This Row],[Egreso Total]]*TablaEgreso[[#This Row],[% de Crédito Fiscal]]</f>
        <v>0</v>
      </c>
      <c r="K61" s="146">
        <v>150854</v>
      </c>
    </row>
    <row r="62" spans="2:11" ht="20.100000000000001" customHeight="1" x14ac:dyDescent="0.25">
      <c r="B62" s="140">
        <v>45631</v>
      </c>
      <c r="C62" s="127" t="str">
        <f>IF(Egresos!$B62="","",TEXT(Egresos!$B62,"MMMM" ))</f>
        <v>diciembre</v>
      </c>
      <c r="D62" s="16" t="s">
        <v>146</v>
      </c>
      <c r="E62" s="17" t="s">
        <v>199</v>
      </c>
      <c r="F62" s="16" t="s">
        <v>13</v>
      </c>
      <c r="G62" s="35">
        <f>TablaEgreso[[#This Row],[Egreso Total]]-TablaEgreso[[#This Row],[Total Crédito Fiscal]]</f>
        <v>1595830.53</v>
      </c>
      <c r="H62" s="16"/>
      <c r="I62" s="31">
        <f>IF(TablaEgreso[[#This Row],[Crédito Fiscal]]="Si",Configuración!$B$26,0)</f>
        <v>0</v>
      </c>
      <c r="J62" s="32">
        <f>TablaEgreso[[#This Row],[Egreso Total]]*TablaEgreso[[#This Row],[% de Crédito Fiscal]]</f>
        <v>0</v>
      </c>
      <c r="K62" s="146">
        <v>1595830.53</v>
      </c>
    </row>
    <row r="63" spans="2:11" ht="20.100000000000001" customHeight="1" x14ac:dyDescent="0.25">
      <c r="B63" s="140">
        <v>45631</v>
      </c>
      <c r="C63" s="127" t="str">
        <f>IF(Egresos!$B63="","",TEXT(Egresos!$B63,"MMMM" ))</f>
        <v>diciembre</v>
      </c>
      <c r="D63" s="16" t="s">
        <v>146</v>
      </c>
      <c r="E63" s="17" t="s">
        <v>200</v>
      </c>
      <c r="F63" s="16" t="s">
        <v>13</v>
      </c>
      <c r="G63" s="35">
        <f>TablaEgreso[[#This Row],[Egreso Total]]-TablaEgreso[[#This Row],[Total Crédito Fiscal]]</f>
        <v>180570</v>
      </c>
      <c r="H63" s="16"/>
      <c r="I63" s="31">
        <f>IF(TablaEgreso[[#This Row],[Crédito Fiscal]]="Si",Configuración!$B$26,0)</f>
        <v>0</v>
      </c>
      <c r="J63" s="32">
        <f>TablaEgreso[[#This Row],[Egreso Total]]*TablaEgreso[[#This Row],[% de Crédito Fiscal]]</f>
        <v>0</v>
      </c>
      <c r="K63" s="146">
        <v>180570</v>
      </c>
    </row>
    <row r="64" spans="2:11" ht="20.100000000000001" customHeight="1" x14ac:dyDescent="0.25">
      <c r="B64" s="140">
        <v>45631</v>
      </c>
      <c r="C64" s="127" t="str">
        <f>IF(Egresos!$B64="","",TEXT(Egresos!$B64,"MMMM" ))</f>
        <v>diciembre</v>
      </c>
      <c r="D64" s="16" t="s">
        <v>103</v>
      </c>
      <c r="E64" s="17" t="s">
        <v>135</v>
      </c>
      <c r="F64" s="16" t="s">
        <v>13</v>
      </c>
      <c r="G64" s="35">
        <f>TablaEgreso[[#This Row],[Egreso Total]]-TablaEgreso[[#This Row],[Total Crédito Fiscal]]</f>
        <v>52801.58</v>
      </c>
      <c r="H64" s="16"/>
      <c r="I64" s="31">
        <f>IF(TablaEgreso[[#This Row],[Crédito Fiscal]]="Si",Configuración!$B$26,0)</f>
        <v>0</v>
      </c>
      <c r="J64" s="32">
        <f>TablaEgreso[[#This Row],[Egreso Total]]*TablaEgreso[[#This Row],[% de Crédito Fiscal]]</f>
        <v>0</v>
      </c>
      <c r="K64" s="146">
        <v>52801.58</v>
      </c>
    </row>
    <row r="65" spans="2:11" ht="20.100000000000001" customHeight="1" x14ac:dyDescent="0.25">
      <c r="B65" s="140">
        <v>45632</v>
      </c>
      <c r="C65" s="127" t="str">
        <f>IF(Egresos!$B65="","",TEXT(Egresos!$B65,"MMMM" ))</f>
        <v>diciembre</v>
      </c>
      <c r="D65" s="16" t="s">
        <v>113</v>
      </c>
      <c r="E65" s="17" t="s">
        <v>202</v>
      </c>
      <c r="F65" s="16" t="s">
        <v>118</v>
      </c>
      <c r="G65" s="35">
        <f>TablaEgreso[[#This Row],[Egreso Total]]-TablaEgreso[[#This Row],[Total Crédito Fiscal]]</f>
        <v>67800</v>
      </c>
      <c r="H65" s="16"/>
      <c r="I65" s="31">
        <f>IF(TablaEgreso[[#This Row],[Crédito Fiscal]]="Si",Configuración!$B$26,0)</f>
        <v>0</v>
      </c>
      <c r="J65" s="32">
        <f>TablaEgreso[[#This Row],[Egreso Total]]*TablaEgreso[[#This Row],[% de Crédito Fiscal]]</f>
        <v>0</v>
      </c>
      <c r="K65" s="146">
        <v>67800</v>
      </c>
    </row>
    <row r="66" spans="2:11" ht="20.100000000000001" customHeight="1" x14ac:dyDescent="0.25">
      <c r="B66" s="140">
        <v>45632</v>
      </c>
      <c r="C66" s="127" t="str">
        <f>IF(Egresos!$B66="","",TEXT(Egresos!$B66,"MMMM" ))</f>
        <v>diciembre</v>
      </c>
      <c r="D66" s="16" t="s">
        <v>146</v>
      </c>
      <c r="E66" s="17" t="s">
        <v>203</v>
      </c>
      <c r="F66" s="16" t="s">
        <v>118</v>
      </c>
      <c r="G66" s="35">
        <f>TablaEgreso[[#This Row],[Egreso Total]]-TablaEgreso[[#This Row],[Total Crédito Fiscal]]</f>
        <v>14000</v>
      </c>
      <c r="H66" s="16"/>
      <c r="I66" s="31">
        <f>IF(TablaEgreso[[#This Row],[Crédito Fiscal]]="Si",Configuración!$B$26,0)</f>
        <v>0</v>
      </c>
      <c r="J66" s="32">
        <f>TablaEgreso[[#This Row],[Egreso Total]]*TablaEgreso[[#This Row],[% de Crédito Fiscal]]</f>
        <v>0</v>
      </c>
      <c r="K66" s="146">
        <v>14000</v>
      </c>
    </row>
    <row r="67" spans="2:11" ht="20.100000000000001" customHeight="1" x14ac:dyDescent="0.25">
      <c r="B67" s="140">
        <v>45632</v>
      </c>
      <c r="C67" s="127" t="str">
        <f>IF(Egresos!$B67="","",TEXT(Egresos!$B67,"MMMM" ))</f>
        <v>diciembre</v>
      </c>
      <c r="D67" s="16" t="s">
        <v>144</v>
      </c>
      <c r="E67" s="17" t="s">
        <v>204</v>
      </c>
      <c r="F67" s="16" t="s">
        <v>118</v>
      </c>
      <c r="G67" s="35">
        <f>TablaEgreso[[#This Row],[Egreso Total]]-TablaEgreso[[#This Row],[Total Crédito Fiscal]]</f>
        <v>11100</v>
      </c>
      <c r="H67" s="16"/>
      <c r="I67" s="31">
        <f>IF(TablaEgreso[[#This Row],[Crédito Fiscal]]="Si",Configuración!$B$26,0)</f>
        <v>0</v>
      </c>
      <c r="J67" s="32">
        <f>TablaEgreso[[#This Row],[Egreso Total]]*TablaEgreso[[#This Row],[% de Crédito Fiscal]]</f>
        <v>0</v>
      </c>
      <c r="K67" s="146">
        <v>11100</v>
      </c>
    </row>
    <row r="68" spans="2:11" ht="20.100000000000001" customHeight="1" x14ac:dyDescent="0.25">
      <c r="B68" s="140">
        <v>45632</v>
      </c>
      <c r="C68" s="127" t="str">
        <f>IF(Egresos!$B68="","",TEXT(Egresos!$B68,"MMMM" ))</f>
        <v>diciembre</v>
      </c>
      <c r="D68" s="16" t="s">
        <v>114</v>
      </c>
      <c r="E68" s="17" t="s">
        <v>205</v>
      </c>
      <c r="F68" s="16" t="s">
        <v>118</v>
      </c>
      <c r="G68" s="35">
        <f>TablaEgreso[[#This Row],[Egreso Total]]-TablaEgreso[[#This Row],[Total Crédito Fiscal]]</f>
        <v>0</v>
      </c>
      <c r="H68" s="16"/>
      <c r="I68" s="31">
        <f>IF(TablaEgreso[[#This Row],[Crédito Fiscal]]="Si",Configuración!$B$26,0)</f>
        <v>0</v>
      </c>
      <c r="J68" s="32">
        <f>TablaEgreso[[#This Row],[Egreso Total]]*TablaEgreso[[#This Row],[% de Crédito Fiscal]]</f>
        <v>0</v>
      </c>
      <c r="K68" s="146">
        <v>0</v>
      </c>
    </row>
    <row r="69" spans="2:11" ht="20.100000000000001" customHeight="1" x14ac:dyDescent="0.25">
      <c r="B69" s="140">
        <v>45633</v>
      </c>
      <c r="C69" s="127" t="str">
        <f>IF(Egresos!$B69="","",TEXT(Egresos!$B69,"MMMM" ))</f>
        <v>diciembre</v>
      </c>
      <c r="D69" s="16" t="s">
        <v>112</v>
      </c>
      <c r="E69" s="17" t="s">
        <v>206</v>
      </c>
      <c r="F69" s="16" t="s">
        <v>118</v>
      </c>
      <c r="G69" s="35">
        <f>TablaEgreso[[#This Row],[Egreso Total]]-TablaEgreso[[#This Row],[Total Crédito Fiscal]]</f>
        <v>30000</v>
      </c>
      <c r="H69" s="16"/>
      <c r="I69" s="31">
        <f>IF(TablaEgreso[[#This Row],[Crédito Fiscal]]="Si",Configuración!$B$26,0)</f>
        <v>0</v>
      </c>
      <c r="J69" s="32">
        <f>TablaEgreso[[#This Row],[Egreso Total]]*TablaEgreso[[#This Row],[% de Crédito Fiscal]]</f>
        <v>0</v>
      </c>
      <c r="K69" s="146">
        <v>30000</v>
      </c>
    </row>
    <row r="70" spans="2:11" ht="20.100000000000001" customHeight="1" x14ac:dyDescent="0.25">
      <c r="B70" s="140">
        <v>45633</v>
      </c>
      <c r="C70" s="127" t="str">
        <f>IF(Egresos!$B70="","",TEXT(Egresos!$B70,"MMMM" ))</f>
        <v>diciembre</v>
      </c>
      <c r="D70" s="16" t="s">
        <v>8</v>
      </c>
      <c r="E70" s="17" t="s">
        <v>207</v>
      </c>
      <c r="F70" s="16" t="s">
        <v>118</v>
      </c>
      <c r="G70" s="35">
        <f>TablaEgreso[[#This Row],[Egreso Total]]-TablaEgreso[[#This Row],[Total Crédito Fiscal]]</f>
        <v>300000</v>
      </c>
      <c r="H70" s="16"/>
      <c r="I70" s="31">
        <f>IF(TablaEgreso[[#This Row],[Crédito Fiscal]]="Si",Configuración!$B$26,0)</f>
        <v>0</v>
      </c>
      <c r="J70" s="32">
        <f>TablaEgreso[[#This Row],[Egreso Total]]*TablaEgreso[[#This Row],[% de Crédito Fiscal]]</f>
        <v>0</v>
      </c>
      <c r="K70" s="146">
        <v>300000</v>
      </c>
    </row>
    <row r="71" spans="2:11" ht="20.100000000000001" customHeight="1" x14ac:dyDescent="0.25">
      <c r="B71" s="140">
        <v>45633</v>
      </c>
      <c r="C71" s="127" t="str">
        <f>IF(Egresos!$B71="","",TEXT(Egresos!$B71,"MMMM" ))</f>
        <v>diciembre</v>
      </c>
      <c r="D71" s="16" t="s">
        <v>8</v>
      </c>
      <c r="E71" s="17" t="s">
        <v>208</v>
      </c>
      <c r="F71" s="16" t="s">
        <v>118</v>
      </c>
      <c r="G71" s="35">
        <f>TablaEgreso[[#This Row],[Egreso Total]]-TablaEgreso[[#This Row],[Total Crédito Fiscal]]</f>
        <v>300000</v>
      </c>
      <c r="H71" s="16"/>
      <c r="I71" s="31">
        <f>IF(TablaEgreso[[#This Row],[Crédito Fiscal]]="Si",Configuración!$B$26,0)</f>
        <v>0</v>
      </c>
      <c r="J71" s="32">
        <f>TablaEgreso[[#This Row],[Egreso Total]]*TablaEgreso[[#This Row],[% de Crédito Fiscal]]</f>
        <v>0</v>
      </c>
      <c r="K71" s="146">
        <v>300000</v>
      </c>
    </row>
    <row r="72" spans="2:11" ht="20.100000000000001" customHeight="1" x14ac:dyDescent="0.25">
      <c r="B72" s="140">
        <v>45633</v>
      </c>
      <c r="C72" s="127" t="str">
        <f>IF(Egresos!$B72="","",TEXT(Egresos!$B72,"MMMM" ))</f>
        <v>diciembre</v>
      </c>
      <c r="D72" s="16" t="s">
        <v>101</v>
      </c>
      <c r="E72" s="17" t="s">
        <v>209</v>
      </c>
      <c r="F72" s="16" t="s">
        <v>118</v>
      </c>
      <c r="G72" s="35">
        <f>TablaEgreso[[#This Row],[Egreso Total]]-TablaEgreso[[#This Row],[Total Crédito Fiscal]]</f>
        <v>39000</v>
      </c>
      <c r="H72" s="16"/>
      <c r="I72" s="31">
        <f>IF(TablaEgreso[[#This Row],[Crédito Fiscal]]="Si",Configuración!$B$26,0)</f>
        <v>0</v>
      </c>
      <c r="J72" s="32">
        <f>TablaEgreso[[#This Row],[Egreso Total]]*TablaEgreso[[#This Row],[% de Crédito Fiscal]]</f>
        <v>0</v>
      </c>
      <c r="K72" s="146">
        <v>39000</v>
      </c>
    </row>
    <row r="73" spans="2:11" ht="20.100000000000001" customHeight="1" x14ac:dyDescent="0.25">
      <c r="B73" s="140">
        <v>45633</v>
      </c>
      <c r="C73" s="127" t="str">
        <f>IF(Egresos!$B73="","",TEXT(Egresos!$B73,"MMMM" ))</f>
        <v>diciembre</v>
      </c>
      <c r="D73" s="16" t="s">
        <v>101</v>
      </c>
      <c r="E73" s="17" t="s">
        <v>394</v>
      </c>
      <c r="F73" s="16" t="s">
        <v>118</v>
      </c>
      <c r="G73" s="35">
        <f>TablaEgreso[[#This Row],[Egreso Total]]-TablaEgreso[[#This Row],[Total Crédito Fiscal]]</f>
        <v>200000</v>
      </c>
      <c r="H73" s="16"/>
      <c r="I73" s="31">
        <f>IF(TablaEgreso[[#This Row],[Crédito Fiscal]]="Si",Configuración!$B$26,0)</f>
        <v>0</v>
      </c>
      <c r="J73" s="32">
        <f>TablaEgreso[[#This Row],[Egreso Total]]*TablaEgreso[[#This Row],[% de Crédito Fiscal]]</f>
        <v>0</v>
      </c>
      <c r="K73" s="146">
        <v>200000</v>
      </c>
    </row>
    <row r="74" spans="2:11" ht="20.100000000000001" customHeight="1" x14ac:dyDescent="0.25">
      <c r="B74" s="140">
        <v>45634</v>
      </c>
      <c r="C74" s="127" t="str">
        <f>IF(Egresos!$B74="","",TEXT(Egresos!$B74,"MMMM" ))</f>
        <v>diciembre</v>
      </c>
      <c r="D74" s="16" t="s">
        <v>144</v>
      </c>
      <c r="E74" s="17" t="s">
        <v>210</v>
      </c>
      <c r="F74" s="16" t="s">
        <v>118</v>
      </c>
      <c r="G74" s="35">
        <f>TablaEgreso[[#This Row],[Egreso Total]]-TablaEgreso[[#This Row],[Total Crédito Fiscal]]</f>
        <v>300000</v>
      </c>
      <c r="H74" s="16"/>
      <c r="I74" s="31">
        <f>IF(TablaEgreso[[#This Row],[Crédito Fiscal]]="Si",Configuración!$B$26,0)</f>
        <v>0</v>
      </c>
      <c r="J74" s="32">
        <f>TablaEgreso[[#This Row],[Egreso Total]]*TablaEgreso[[#This Row],[% de Crédito Fiscal]]</f>
        <v>0</v>
      </c>
      <c r="K74" s="146">
        <v>300000</v>
      </c>
    </row>
    <row r="75" spans="2:11" ht="20.100000000000001" customHeight="1" x14ac:dyDescent="0.25">
      <c r="B75" s="140">
        <v>45637</v>
      </c>
      <c r="C75" s="127" t="str">
        <f>IF(Egresos!$B182="","",TEXT(Egresos!$B182,"MMMM" ))</f>
        <v>diciembre</v>
      </c>
      <c r="D75" s="16" t="s">
        <v>115</v>
      </c>
      <c r="E75" s="17" t="s">
        <v>303</v>
      </c>
      <c r="F75" s="16" t="s">
        <v>13</v>
      </c>
      <c r="G75" s="35">
        <f>TablaEgreso[[#This Row],[Egreso Total]]-TablaEgreso[[#This Row],[Total Crédito Fiscal]]</f>
        <v>15011</v>
      </c>
      <c r="H75" s="16"/>
      <c r="I75" s="31">
        <f>IF(TablaEgreso[[#This Row],[Crédito Fiscal]]="Si",Configuración!$B$26,0)</f>
        <v>0</v>
      </c>
      <c r="J75" s="32">
        <f>TablaEgreso[[#This Row],[Egreso Total]]*TablaEgreso[[#This Row],[% de Crédito Fiscal]]</f>
        <v>0</v>
      </c>
      <c r="K75" s="146">
        <v>15011</v>
      </c>
    </row>
    <row r="76" spans="2:11" ht="20.100000000000001" customHeight="1" x14ac:dyDescent="0.25">
      <c r="B76" s="140">
        <v>45632</v>
      </c>
      <c r="C76" s="127" t="str">
        <f>IF(Egresos!$B78="","",TEXT(Egresos!$B78,"MMMM" ))</f>
        <v>diciembre</v>
      </c>
      <c r="D76" s="16" t="s">
        <v>102</v>
      </c>
      <c r="E76" s="17" t="s">
        <v>214</v>
      </c>
      <c r="F76" s="16" t="s">
        <v>119</v>
      </c>
      <c r="G76" s="35">
        <f>TablaEgreso[[#This Row],[Egreso Total]]-TablaEgreso[[#This Row],[Total Crédito Fiscal]]</f>
        <v>7755</v>
      </c>
      <c r="H76" s="16"/>
      <c r="I76" s="31">
        <f>IF(TablaEgreso[[#This Row],[Crédito Fiscal]]="Si",Configuración!$B$26,0)</f>
        <v>0</v>
      </c>
      <c r="J76" s="32">
        <f>TablaEgreso[[#This Row],[Egreso Total]]*TablaEgreso[[#This Row],[% de Crédito Fiscal]]</f>
        <v>0</v>
      </c>
      <c r="K76" s="146">
        <v>7755</v>
      </c>
    </row>
    <row r="77" spans="2:11" ht="20.100000000000001" customHeight="1" x14ac:dyDescent="0.25">
      <c r="B77" s="140">
        <v>45635</v>
      </c>
      <c r="C77" s="127" t="str">
        <f>IF(Egresos!$B92="","",TEXT(Egresos!$B92,"MMMM" ))</f>
        <v>diciembre</v>
      </c>
      <c r="D77" s="16" t="s">
        <v>113</v>
      </c>
      <c r="E77" s="17" t="s">
        <v>223</v>
      </c>
      <c r="F77" s="16" t="s">
        <v>13</v>
      </c>
      <c r="G77" s="35">
        <f>TablaEgreso[[#This Row],[Egreso Total]]-TablaEgreso[[#This Row],[Total Crédito Fiscal]]</f>
        <v>29569.8</v>
      </c>
      <c r="H77" s="16"/>
      <c r="I77" s="31">
        <f>IF(TablaEgreso[[#This Row],[Crédito Fiscal]]="Si",Configuración!$B$26,0)</f>
        <v>0</v>
      </c>
      <c r="J77" s="32">
        <f>TablaEgreso[[#This Row],[Egreso Total]]*TablaEgreso[[#This Row],[% de Crédito Fiscal]]</f>
        <v>0</v>
      </c>
      <c r="K77" s="146">
        <v>29569.8</v>
      </c>
    </row>
    <row r="78" spans="2:11" ht="20.100000000000001" customHeight="1" x14ac:dyDescent="0.25">
      <c r="B78" s="140">
        <v>45629</v>
      </c>
      <c r="C78" s="127" t="str">
        <f>IF(Egresos!$B28="","",TEXT(Egresos!$B28,"MMMM" ))</f>
        <v>diciembre</v>
      </c>
      <c r="D78" s="16" t="s">
        <v>116</v>
      </c>
      <c r="E78" s="17" t="s">
        <v>167</v>
      </c>
      <c r="F78" s="16" t="s">
        <v>119</v>
      </c>
      <c r="G78" s="35">
        <f>TablaEgreso[[#This Row],[Egreso Total]]-TablaEgreso[[#This Row],[Total Crédito Fiscal]]</f>
        <v>20000</v>
      </c>
      <c r="H78" s="16"/>
      <c r="I78" s="31">
        <f>IF(TablaEgreso[[#This Row],[Crédito Fiscal]]="Si",Configuración!$B$26,0)</f>
        <v>0</v>
      </c>
      <c r="J78" s="32">
        <f>TablaEgreso[[#This Row],[Egreso Total]]*TablaEgreso[[#This Row],[% de Crédito Fiscal]]</f>
        <v>0</v>
      </c>
      <c r="K78" s="146">
        <v>20000</v>
      </c>
    </row>
    <row r="79" spans="2:11" ht="20.100000000000001" customHeight="1" x14ac:dyDescent="0.25">
      <c r="B79" s="140">
        <v>45630</v>
      </c>
      <c r="C79" s="127" t="str">
        <f>IF(Egresos!$B79="","",TEXT(Egresos!$B79,"MMMM" ))</f>
        <v>diciembre</v>
      </c>
      <c r="D79" s="16" t="s">
        <v>114</v>
      </c>
      <c r="E79" s="17" t="s">
        <v>215</v>
      </c>
      <c r="F79" s="16" t="s">
        <v>120</v>
      </c>
      <c r="G79" s="35">
        <f>TablaEgreso[[#This Row],[Egreso Total]]-TablaEgreso[[#This Row],[Total Crédito Fiscal]]</f>
        <v>0</v>
      </c>
      <c r="H79" s="16"/>
      <c r="I79" s="31">
        <f>IF(TablaEgreso[[#This Row],[Crédito Fiscal]]="Si",Configuración!$B$26,0)</f>
        <v>0</v>
      </c>
      <c r="J79" s="32">
        <f>TablaEgreso[[#This Row],[Egreso Total]]*TablaEgreso[[#This Row],[% de Crédito Fiscal]]</f>
        <v>0</v>
      </c>
      <c r="K79" s="146">
        <v>0</v>
      </c>
    </row>
    <row r="80" spans="2:11" ht="20.100000000000001" customHeight="1" x14ac:dyDescent="0.25">
      <c r="B80" s="140">
        <v>45631</v>
      </c>
      <c r="C80" s="127" t="str">
        <f>IF(Egresos!$B80="","",TEXT(Egresos!$B80,"MMMM" ))</f>
        <v>diciembre</v>
      </c>
      <c r="D80" s="16" t="s">
        <v>113</v>
      </c>
      <c r="E80" s="17" t="s">
        <v>172</v>
      </c>
      <c r="F80" s="16" t="s">
        <v>120</v>
      </c>
      <c r="G80" s="35">
        <f>TablaEgreso[[#This Row],[Egreso Total]]-TablaEgreso[[#This Row],[Total Crédito Fiscal]]</f>
        <v>5500</v>
      </c>
      <c r="H80" s="16"/>
      <c r="I80" s="31">
        <f>IF(TablaEgreso[[#This Row],[Crédito Fiscal]]="Si",Configuración!$B$26,0)</f>
        <v>0</v>
      </c>
      <c r="J80" s="32">
        <f>TablaEgreso[[#This Row],[Egreso Total]]*TablaEgreso[[#This Row],[% de Crédito Fiscal]]</f>
        <v>0</v>
      </c>
      <c r="K80" s="146">
        <v>5500</v>
      </c>
    </row>
    <row r="81" spans="2:11" ht="20.100000000000001" customHeight="1" x14ac:dyDescent="0.25">
      <c r="B81" s="140">
        <v>45632</v>
      </c>
      <c r="C81" s="127" t="str">
        <f>IF(Egresos!$B81="","",TEXT(Egresos!$B81,"MMMM" ))</f>
        <v>diciembre</v>
      </c>
      <c r="D81" s="16" t="s">
        <v>114</v>
      </c>
      <c r="E81" s="17" t="s">
        <v>216</v>
      </c>
      <c r="F81" s="16" t="s">
        <v>120</v>
      </c>
      <c r="G81" s="35">
        <f>TablaEgreso[[#This Row],[Egreso Total]]-TablaEgreso[[#This Row],[Total Crédito Fiscal]]</f>
        <v>0</v>
      </c>
      <c r="H81" s="16"/>
      <c r="I81" s="31">
        <f>IF(TablaEgreso[[#This Row],[Crédito Fiscal]]="Si",Configuración!$B$26,0)</f>
        <v>0</v>
      </c>
      <c r="J81" s="32">
        <f>TablaEgreso[[#This Row],[Egreso Total]]*TablaEgreso[[#This Row],[% de Crédito Fiscal]]</f>
        <v>0</v>
      </c>
      <c r="K81" s="146">
        <v>0</v>
      </c>
    </row>
    <row r="82" spans="2:11" ht="20.100000000000001" customHeight="1" x14ac:dyDescent="0.25">
      <c r="B82" s="140">
        <v>45632</v>
      </c>
      <c r="C82" s="127" t="str">
        <f>IF(Egresos!$B82="","",TEXT(Egresos!$B82,"MMMM" ))</f>
        <v>diciembre</v>
      </c>
      <c r="D82" s="16" t="s">
        <v>109</v>
      </c>
      <c r="E82" s="17" t="s">
        <v>217</v>
      </c>
      <c r="F82" s="16" t="s">
        <v>120</v>
      </c>
      <c r="G82" s="35">
        <f>TablaEgreso[[#This Row],[Egreso Total]]-TablaEgreso[[#This Row],[Total Crédito Fiscal]]</f>
        <v>1000</v>
      </c>
      <c r="H82" s="16"/>
      <c r="I82" s="31">
        <f>IF(TablaEgreso[[#This Row],[Crédito Fiscal]]="Si",Configuración!$B$26,0)</f>
        <v>0</v>
      </c>
      <c r="J82" s="32">
        <f>TablaEgreso[[#This Row],[Egreso Total]]*TablaEgreso[[#This Row],[% de Crédito Fiscal]]</f>
        <v>0</v>
      </c>
      <c r="K82" s="146">
        <v>1000</v>
      </c>
    </row>
    <row r="83" spans="2:11" ht="20.100000000000001" customHeight="1" x14ac:dyDescent="0.25">
      <c r="B83" s="140">
        <v>45632</v>
      </c>
      <c r="C83" s="127" t="str">
        <f>IF(Egresos!$B83="","",TEXT(Egresos!$B83,"MMMM" ))</f>
        <v>diciembre</v>
      </c>
      <c r="D83" s="16" t="s">
        <v>113</v>
      </c>
      <c r="E83" s="17" t="s">
        <v>172</v>
      </c>
      <c r="F83" s="16" t="s">
        <v>120</v>
      </c>
      <c r="G83" s="35">
        <f>TablaEgreso[[#This Row],[Egreso Total]]-TablaEgreso[[#This Row],[Total Crédito Fiscal]]</f>
        <v>1000</v>
      </c>
      <c r="H83" s="16"/>
      <c r="I83" s="31">
        <f>IF(TablaEgreso[[#This Row],[Crédito Fiscal]]="Si",Configuración!$B$26,0)</f>
        <v>0</v>
      </c>
      <c r="J83" s="32">
        <f>TablaEgreso[[#This Row],[Egreso Total]]*TablaEgreso[[#This Row],[% de Crédito Fiscal]]</f>
        <v>0</v>
      </c>
      <c r="K83" s="146">
        <v>1000</v>
      </c>
    </row>
    <row r="84" spans="2:11" ht="20.100000000000001" customHeight="1" x14ac:dyDescent="0.25">
      <c r="B84" s="140">
        <v>45632</v>
      </c>
      <c r="C84" s="127" t="str">
        <f>IF(Egresos!$B84="","",TEXT(Egresos!$B84,"MMMM" ))</f>
        <v>diciembre</v>
      </c>
      <c r="D84" s="16" t="s">
        <v>113</v>
      </c>
      <c r="E84" s="17" t="s">
        <v>218</v>
      </c>
      <c r="F84" s="16" t="s">
        <v>120</v>
      </c>
      <c r="G84" s="35">
        <f>TablaEgreso[[#This Row],[Egreso Total]]-TablaEgreso[[#This Row],[Total Crédito Fiscal]]</f>
        <v>7000</v>
      </c>
      <c r="H84" s="16"/>
      <c r="I84" s="31">
        <f>IF(TablaEgreso[[#This Row],[Crédito Fiscal]]="Si",Configuración!$B$26,0)</f>
        <v>0</v>
      </c>
      <c r="J84" s="32">
        <f>TablaEgreso[[#This Row],[Egreso Total]]*TablaEgreso[[#This Row],[% de Crédito Fiscal]]</f>
        <v>0</v>
      </c>
      <c r="K84" s="146">
        <v>7000</v>
      </c>
    </row>
    <row r="85" spans="2:11" ht="20.100000000000001" customHeight="1" x14ac:dyDescent="0.25">
      <c r="B85" s="140">
        <v>45632</v>
      </c>
      <c r="C85" s="127" t="str">
        <f>IF(Egresos!$B85="","",TEXT(Egresos!$B85,"MMMM" ))</f>
        <v>diciembre</v>
      </c>
      <c r="D85" s="16" t="s">
        <v>101</v>
      </c>
      <c r="E85" s="17" t="s">
        <v>173</v>
      </c>
      <c r="F85" s="16" t="s">
        <v>120</v>
      </c>
      <c r="G85" s="35">
        <f>TablaEgreso[[#This Row],[Egreso Total]]-TablaEgreso[[#This Row],[Total Crédito Fiscal]]</f>
        <v>89010</v>
      </c>
      <c r="H85" s="16"/>
      <c r="I85" s="31">
        <f>IF(TablaEgreso[[#This Row],[Crédito Fiscal]]="Si",Configuración!$B$26,0)</f>
        <v>0</v>
      </c>
      <c r="J85" s="32">
        <f>TablaEgreso[[#This Row],[Egreso Total]]*TablaEgreso[[#This Row],[% de Crédito Fiscal]]</f>
        <v>0</v>
      </c>
      <c r="K85" s="146">
        <v>89010</v>
      </c>
    </row>
    <row r="86" spans="2:11" ht="20.100000000000001" customHeight="1" x14ac:dyDescent="0.25">
      <c r="B86" s="140">
        <v>45633</v>
      </c>
      <c r="C86" s="127" t="str">
        <f>IF(Egresos!$B86="","",TEXT(Egresos!$B86,"MMMM" ))</f>
        <v>diciembre</v>
      </c>
      <c r="D86" s="16" t="s">
        <v>19</v>
      </c>
      <c r="E86" s="17" t="s">
        <v>219</v>
      </c>
      <c r="F86" s="16" t="s">
        <v>120</v>
      </c>
      <c r="G86" s="35">
        <f>TablaEgreso[[#This Row],[Egreso Total]]-TablaEgreso[[#This Row],[Total Crédito Fiscal]]</f>
        <v>50000</v>
      </c>
      <c r="H86" s="16"/>
      <c r="I86" s="31">
        <f>IF(TablaEgreso[[#This Row],[Crédito Fiscal]]="Si",Configuración!$B$26,0)</f>
        <v>0</v>
      </c>
      <c r="J86" s="32">
        <f>TablaEgreso[[#This Row],[Egreso Total]]*TablaEgreso[[#This Row],[% de Crédito Fiscal]]</f>
        <v>0</v>
      </c>
      <c r="K86" s="146">
        <v>50000</v>
      </c>
    </row>
    <row r="87" spans="2:11" ht="20.100000000000001" customHeight="1" x14ac:dyDescent="0.25">
      <c r="B87" s="140">
        <v>45633</v>
      </c>
      <c r="C87" s="127" t="str">
        <f>IF(Egresos!$B87="","",TEXT(Egresos!$B87,"MMMM" ))</f>
        <v>diciembre</v>
      </c>
      <c r="D87" s="16" t="s">
        <v>19</v>
      </c>
      <c r="E87" s="17" t="s">
        <v>220</v>
      </c>
      <c r="F87" s="16" t="s">
        <v>120</v>
      </c>
      <c r="G87" s="35">
        <f>TablaEgreso[[#This Row],[Egreso Total]]-TablaEgreso[[#This Row],[Total Crédito Fiscal]]</f>
        <v>430300</v>
      </c>
      <c r="H87" s="16"/>
      <c r="I87" s="31">
        <f>IF(TablaEgreso[[#This Row],[Crédito Fiscal]]="Si",Configuración!$B$26,0)</f>
        <v>0</v>
      </c>
      <c r="J87" s="32">
        <f>TablaEgreso[[#This Row],[Egreso Total]]*TablaEgreso[[#This Row],[% de Crédito Fiscal]]</f>
        <v>0</v>
      </c>
      <c r="K87" s="146">
        <v>430300</v>
      </c>
    </row>
    <row r="88" spans="2:11" ht="20.100000000000001" customHeight="1" x14ac:dyDescent="0.25">
      <c r="B88" s="140">
        <v>45633</v>
      </c>
      <c r="C88" s="127" t="str">
        <f>IF(Egresos!$B88="","",TEXT(Egresos!$B88,"MMMM" ))</f>
        <v>diciembre</v>
      </c>
      <c r="D88" s="16" t="s">
        <v>113</v>
      </c>
      <c r="E88" s="17" t="s">
        <v>172</v>
      </c>
      <c r="F88" s="16" t="s">
        <v>120</v>
      </c>
      <c r="G88" s="35">
        <f>TablaEgreso[[#This Row],[Egreso Total]]-TablaEgreso[[#This Row],[Total Crédito Fiscal]]</f>
        <v>7000</v>
      </c>
      <c r="H88" s="16"/>
      <c r="I88" s="31">
        <f>IF(TablaEgreso[[#This Row],[Crédito Fiscal]]="Si",Configuración!$B$26,0)</f>
        <v>0</v>
      </c>
      <c r="J88" s="32">
        <f>TablaEgreso[[#This Row],[Egreso Total]]*TablaEgreso[[#This Row],[% de Crédito Fiscal]]</f>
        <v>0</v>
      </c>
      <c r="K88" s="146">
        <v>7000</v>
      </c>
    </row>
    <row r="89" spans="2:11" ht="20.100000000000001" customHeight="1" x14ac:dyDescent="0.25">
      <c r="B89" s="140">
        <v>45633</v>
      </c>
      <c r="C89" s="127" t="str">
        <f>IF(Egresos!$B89="","",TEXT(Egresos!$B89,"MMMM" ))</f>
        <v>diciembre</v>
      </c>
      <c r="D89" s="16" t="s">
        <v>109</v>
      </c>
      <c r="E89" s="17" t="s">
        <v>217</v>
      </c>
      <c r="F89" s="16" t="s">
        <v>120</v>
      </c>
      <c r="G89" s="35">
        <f>TablaEgreso[[#This Row],[Egreso Total]]-TablaEgreso[[#This Row],[Total Crédito Fiscal]]</f>
        <v>4500</v>
      </c>
      <c r="H89" s="16"/>
      <c r="I89" s="31">
        <f>IF(TablaEgreso[[#This Row],[Crédito Fiscal]]="Si",Configuración!$B$26,0)</f>
        <v>0</v>
      </c>
      <c r="J89" s="32">
        <f>TablaEgreso[[#This Row],[Egreso Total]]*TablaEgreso[[#This Row],[% de Crédito Fiscal]]</f>
        <v>0</v>
      </c>
      <c r="K89" s="146">
        <v>4500</v>
      </c>
    </row>
    <row r="90" spans="2:11" ht="20.100000000000001" customHeight="1" x14ac:dyDescent="0.25">
      <c r="B90" s="140">
        <v>45634</v>
      </c>
      <c r="C90" s="127" t="str">
        <f>IF(Egresos!$B90="","",TEXT(Egresos!$B90,"MMMM" ))</f>
        <v>diciembre</v>
      </c>
      <c r="D90" s="16" t="s">
        <v>114</v>
      </c>
      <c r="E90" s="17" t="s">
        <v>221</v>
      </c>
      <c r="F90" s="16" t="s">
        <v>120</v>
      </c>
      <c r="G90" s="35">
        <f>TablaEgreso[[#This Row],[Egreso Total]]-TablaEgreso[[#This Row],[Total Crédito Fiscal]]</f>
        <v>0</v>
      </c>
      <c r="H90" s="16"/>
      <c r="I90" s="31">
        <f>IF(TablaEgreso[[#This Row],[Crédito Fiscal]]="Si",Configuración!$B$26,0)</f>
        <v>0</v>
      </c>
      <c r="J90" s="32">
        <f>TablaEgreso[[#This Row],[Egreso Total]]*TablaEgreso[[#This Row],[% de Crédito Fiscal]]</f>
        <v>0</v>
      </c>
      <c r="K90" s="146">
        <v>0</v>
      </c>
    </row>
    <row r="91" spans="2:11" ht="20.100000000000001" customHeight="1" x14ac:dyDescent="0.25">
      <c r="B91" s="140">
        <v>45635</v>
      </c>
      <c r="C91" s="127" t="str">
        <f>IF(Egresos!$B91="","",TEXT(Egresos!$B91,"MMMM" ))</f>
        <v>diciembre</v>
      </c>
      <c r="D91" s="16" t="s">
        <v>108</v>
      </c>
      <c r="E91" s="17" t="s">
        <v>222</v>
      </c>
      <c r="F91" s="16" t="s">
        <v>13</v>
      </c>
      <c r="G91" s="35">
        <f>TablaEgreso[[#This Row],[Egreso Total]]-TablaEgreso[[#This Row],[Total Crédito Fiscal]]</f>
        <v>15740.71</v>
      </c>
      <c r="H91" s="16"/>
      <c r="I91" s="31">
        <f>IF(TablaEgreso[[#This Row],[Crédito Fiscal]]="Si",Configuración!$B$26,0)</f>
        <v>0</v>
      </c>
      <c r="J91" s="32">
        <f>TablaEgreso[[#This Row],[Egreso Total]]*TablaEgreso[[#This Row],[% de Crédito Fiscal]]</f>
        <v>0</v>
      </c>
      <c r="K91" s="146">
        <v>15740.71</v>
      </c>
    </row>
    <row r="92" spans="2:11" ht="20.100000000000001" customHeight="1" x14ac:dyDescent="0.25">
      <c r="B92" s="140">
        <v>45638</v>
      </c>
      <c r="C92" s="127" t="str">
        <f>IF(Egresos!$B220="","",TEXT(Egresos!$B220,"MMMM" ))</f>
        <v>diciembre</v>
      </c>
      <c r="D92" s="16" t="s">
        <v>116</v>
      </c>
      <c r="E92" s="17" t="s">
        <v>335</v>
      </c>
      <c r="F92" s="16" t="s">
        <v>119</v>
      </c>
      <c r="G92" s="35">
        <f>TablaEgreso[[#This Row],[Egreso Total]]-TablaEgreso[[#This Row],[Total Crédito Fiscal]]</f>
        <v>189000</v>
      </c>
      <c r="H92" s="16"/>
      <c r="I92" s="31">
        <f>IF(TablaEgreso[[#This Row],[Crédito Fiscal]]="Si",Configuración!$B$26,0)</f>
        <v>0</v>
      </c>
      <c r="J92" s="32">
        <f>TablaEgreso[[#This Row],[Egreso Total]]*TablaEgreso[[#This Row],[% de Crédito Fiscal]]</f>
        <v>0</v>
      </c>
      <c r="K92" s="146">
        <v>189000</v>
      </c>
    </row>
    <row r="93" spans="2:11" ht="20.100000000000001" customHeight="1" x14ac:dyDescent="0.25">
      <c r="B93" s="140">
        <v>45638</v>
      </c>
      <c r="C93" s="127" t="str">
        <f>IF(Egresos!$B93="","",TEXT(Egresos!$B93,"MMMM" ))</f>
        <v>diciembre</v>
      </c>
      <c r="D93" s="16" t="s">
        <v>113</v>
      </c>
      <c r="E93" s="17" t="s">
        <v>413</v>
      </c>
      <c r="F93" s="16" t="s">
        <v>121</v>
      </c>
      <c r="G93" s="35">
        <f>TablaEgreso[[#This Row],[Egreso Total]]-TablaEgreso[[#This Row],[Total Crédito Fiscal]]</f>
        <v>86623.5</v>
      </c>
      <c r="H93" s="16"/>
      <c r="I93" s="31">
        <f>IF(TablaEgreso[[#This Row],[Crédito Fiscal]]="Si",Configuración!$B$26,0)</f>
        <v>0</v>
      </c>
      <c r="J93" s="32">
        <f>TablaEgreso[[#This Row],[Egreso Total]]*TablaEgreso[[#This Row],[% de Crédito Fiscal]]</f>
        <v>0</v>
      </c>
      <c r="K93" s="146">
        <v>86623.5</v>
      </c>
    </row>
    <row r="94" spans="2:11" ht="20.100000000000001" customHeight="1" x14ac:dyDescent="0.25">
      <c r="B94" s="140">
        <v>45635</v>
      </c>
      <c r="C94" s="127" t="str">
        <f>IF(Egresos!$B94="","",TEXT(Egresos!$B94,"MMMM" ))</f>
        <v>diciembre</v>
      </c>
      <c r="D94" s="16" t="s">
        <v>108</v>
      </c>
      <c r="E94" s="17" t="s">
        <v>224</v>
      </c>
      <c r="F94" s="16" t="s">
        <v>13</v>
      </c>
      <c r="G94" s="35">
        <f>TablaEgreso[[#This Row],[Egreso Total]]-TablaEgreso[[#This Row],[Total Crédito Fiscal]]</f>
        <v>213509.85</v>
      </c>
      <c r="H94" s="16"/>
      <c r="I94" s="31">
        <f>IF(TablaEgreso[[#This Row],[Crédito Fiscal]]="Si",Configuración!$B$26,0)</f>
        <v>0</v>
      </c>
      <c r="J94" s="32">
        <f>TablaEgreso[[#This Row],[Egreso Total]]*TablaEgreso[[#This Row],[% de Crédito Fiscal]]</f>
        <v>0</v>
      </c>
      <c r="K94" s="146">
        <v>213509.85</v>
      </c>
    </row>
    <row r="95" spans="2:11" ht="20.100000000000001" customHeight="1" x14ac:dyDescent="0.25">
      <c r="B95" s="140">
        <v>45635</v>
      </c>
      <c r="C95" s="127" t="str">
        <f>IF(Egresos!$B95="","",TEXT(Egresos!$B95,"MMMM" ))</f>
        <v>diciembre</v>
      </c>
      <c r="D95" s="16" t="s">
        <v>108</v>
      </c>
      <c r="E95" s="17" t="s">
        <v>224</v>
      </c>
      <c r="F95" s="16" t="s">
        <v>13</v>
      </c>
      <c r="G95" s="35">
        <f>TablaEgreso[[#This Row],[Egreso Total]]-TablaEgreso[[#This Row],[Total Crédito Fiscal]]</f>
        <v>760506.69</v>
      </c>
      <c r="H95" s="16"/>
      <c r="I95" s="31">
        <f>IF(TablaEgreso[[#This Row],[Crédito Fiscal]]="Si",Configuración!$B$26,0)</f>
        <v>0</v>
      </c>
      <c r="J95" s="32">
        <f>TablaEgreso[[#This Row],[Egreso Total]]*TablaEgreso[[#This Row],[% de Crédito Fiscal]]</f>
        <v>0</v>
      </c>
      <c r="K95" s="146">
        <v>760506.69</v>
      </c>
    </row>
    <row r="96" spans="2:11" ht="20.100000000000001" customHeight="1" x14ac:dyDescent="0.25">
      <c r="B96" s="140">
        <v>45635</v>
      </c>
      <c r="C96" s="127" t="str">
        <f>IF(Egresos!$B96="","",TEXT(Egresos!$B96,"MMMM" ))</f>
        <v>diciembre</v>
      </c>
      <c r="D96" s="16" t="s">
        <v>113</v>
      </c>
      <c r="E96" s="17" t="s">
        <v>225</v>
      </c>
      <c r="F96" s="16" t="s">
        <v>121</v>
      </c>
      <c r="G96" s="35">
        <f>TablaEgreso[[#This Row],[Egreso Total]]-TablaEgreso[[#This Row],[Total Crédito Fiscal]]</f>
        <v>0</v>
      </c>
      <c r="H96" s="16"/>
      <c r="I96" s="31">
        <f>IF(TablaEgreso[[#This Row],[Crédito Fiscal]]="Si",Configuración!$B$26,0)</f>
        <v>0</v>
      </c>
      <c r="J96" s="32">
        <f>TablaEgreso[[#This Row],[Egreso Total]]*TablaEgreso[[#This Row],[% de Crédito Fiscal]]</f>
        <v>0</v>
      </c>
      <c r="K96" s="146">
        <v>0</v>
      </c>
    </row>
    <row r="97" spans="2:11" ht="20.100000000000001" customHeight="1" x14ac:dyDescent="0.25">
      <c r="B97" s="140">
        <v>45635</v>
      </c>
      <c r="C97" s="127" t="str">
        <f>IF(Egresos!$B97="","",TEXT(Egresos!$B97,"MMMM" ))</f>
        <v>diciembre</v>
      </c>
      <c r="D97" s="16" t="s">
        <v>113</v>
      </c>
      <c r="E97" s="17" t="s">
        <v>226</v>
      </c>
      <c r="F97" s="16" t="s">
        <v>122</v>
      </c>
      <c r="G97" s="35">
        <f>TablaEgreso[[#This Row],[Egreso Total]]-TablaEgreso[[#This Row],[Total Crédito Fiscal]]</f>
        <v>459993.47</v>
      </c>
      <c r="H97" s="16"/>
      <c r="I97" s="31">
        <f>IF(TablaEgreso[[#This Row],[Crédito Fiscal]]="Si",Configuración!$B$26,0)</f>
        <v>0</v>
      </c>
      <c r="J97" s="32">
        <f>TablaEgreso[[#This Row],[Egreso Total]]*TablaEgreso[[#This Row],[% de Crédito Fiscal]]</f>
        <v>0</v>
      </c>
      <c r="K97" s="146">
        <v>459993.47</v>
      </c>
    </row>
    <row r="98" spans="2:11" ht="20.100000000000001" customHeight="1" x14ac:dyDescent="0.25">
      <c r="B98" s="140">
        <v>45635</v>
      </c>
      <c r="C98" s="127" t="str">
        <f>IF(Egresos!$B98="","",TEXT(Egresos!$B98,"MMMM" ))</f>
        <v>diciembre</v>
      </c>
      <c r="D98" s="16" t="s">
        <v>113</v>
      </c>
      <c r="E98" s="17" t="s">
        <v>227</v>
      </c>
      <c r="F98" s="16" t="s">
        <v>122</v>
      </c>
      <c r="G98" s="35">
        <f>TablaEgreso[[#This Row],[Egreso Total]]-TablaEgreso[[#This Row],[Total Crédito Fiscal]]</f>
        <v>2844377.62</v>
      </c>
      <c r="H98" s="16"/>
      <c r="I98" s="31">
        <f>IF(TablaEgreso[[#This Row],[Crédito Fiscal]]="Si",Configuración!$B$26,0)</f>
        <v>0</v>
      </c>
      <c r="J98" s="32">
        <f>TablaEgreso[[#This Row],[Egreso Total]]*TablaEgreso[[#This Row],[% de Crédito Fiscal]]</f>
        <v>0</v>
      </c>
      <c r="K98" s="146">
        <v>2844377.62</v>
      </c>
    </row>
    <row r="99" spans="2:11" ht="20.100000000000001" customHeight="1" x14ac:dyDescent="0.25">
      <c r="B99" s="140">
        <v>45635</v>
      </c>
      <c r="C99" s="127" t="str">
        <f>IF(Egresos!$B99="","",TEXT(Egresos!$B99,"MMMM" ))</f>
        <v>diciembre</v>
      </c>
      <c r="D99" s="16" t="s">
        <v>146</v>
      </c>
      <c r="E99" s="17" t="s">
        <v>200</v>
      </c>
      <c r="F99" s="16" t="s">
        <v>13</v>
      </c>
      <c r="G99" s="35">
        <f>TablaEgreso[[#This Row],[Egreso Total]]-TablaEgreso[[#This Row],[Total Crédito Fiscal]]</f>
        <v>108342</v>
      </c>
      <c r="H99" s="16"/>
      <c r="I99" s="31">
        <f>IF(TablaEgreso[[#This Row],[Crédito Fiscal]]="Si",Configuración!$B$26,0)</f>
        <v>0</v>
      </c>
      <c r="J99" s="32">
        <f>TablaEgreso[[#This Row],[Egreso Total]]*TablaEgreso[[#This Row],[% de Crédito Fiscal]]</f>
        <v>0</v>
      </c>
      <c r="K99" s="146">
        <v>108342</v>
      </c>
    </row>
    <row r="100" spans="2:11" ht="20.100000000000001" customHeight="1" x14ac:dyDescent="0.25">
      <c r="B100" s="140">
        <v>45635</v>
      </c>
      <c r="C100" s="127" t="str">
        <f>IF(Egresos!$B100="","",TEXT(Egresos!$B100,"MMMM" ))</f>
        <v>diciembre</v>
      </c>
      <c r="D100" s="16" t="s">
        <v>110</v>
      </c>
      <c r="E100" s="17" t="s">
        <v>228</v>
      </c>
      <c r="F100" s="16" t="s">
        <v>13</v>
      </c>
      <c r="G100" s="35">
        <f>TablaEgreso[[#This Row],[Egreso Total]]-TablaEgreso[[#This Row],[Total Crédito Fiscal]]</f>
        <v>445726.85</v>
      </c>
      <c r="H100" s="16"/>
      <c r="I100" s="31">
        <f>IF(TablaEgreso[[#This Row],[Crédito Fiscal]]="Si",Configuración!$B$26,0)</f>
        <v>0</v>
      </c>
      <c r="J100" s="32">
        <f>TablaEgreso[[#This Row],[Egreso Total]]*TablaEgreso[[#This Row],[% de Crédito Fiscal]]</f>
        <v>0</v>
      </c>
      <c r="K100" s="146">
        <v>445726.85</v>
      </c>
    </row>
    <row r="101" spans="2:11" ht="20.100000000000001" customHeight="1" x14ac:dyDescent="0.25">
      <c r="B101" s="140">
        <v>45635</v>
      </c>
      <c r="C101" s="127" t="str">
        <f>IF(Egresos!$B101="","",TEXT(Egresos!$B101,"MMMM" ))</f>
        <v>diciembre</v>
      </c>
      <c r="D101" s="16" t="s">
        <v>9</v>
      </c>
      <c r="E101" s="17" t="s">
        <v>229</v>
      </c>
      <c r="F101" s="16" t="s">
        <v>13</v>
      </c>
      <c r="G101" s="35">
        <f>TablaEgreso[[#This Row],[Egreso Total]]-TablaEgreso[[#This Row],[Total Crédito Fiscal]]</f>
        <v>14000</v>
      </c>
      <c r="H101" s="16"/>
      <c r="I101" s="31">
        <f>IF(TablaEgreso[[#This Row],[Crédito Fiscal]]="Si",Configuración!$B$26,0)</f>
        <v>0</v>
      </c>
      <c r="J101" s="32">
        <f>TablaEgreso[[#This Row],[Egreso Total]]*TablaEgreso[[#This Row],[% de Crédito Fiscal]]</f>
        <v>0</v>
      </c>
      <c r="K101" s="146">
        <v>14000</v>
      </c>
    </row>
    <row r="102" spans="2:11" ht="20.100000000000001" customHeight="1" x14ac:dyDescent="0.25">
      <c r="B102" s="140">
        <v>45635</v>
      </c>
      <c r="C102" s="127" t="str">
        <f>IF(Egresos!$B102="","",TEXT(Egresos!$B102,"MMMM" ))</f>
        <v>diciembre</v>
      </c>
      <c r="D102" s="16" t="s">
        <v>110</v>
      </c>
      <c r="E102" s="17" t="s">
        <v>230</v>
      </c>
      <c r="F102" s="16" t="s">
        <v>121</v>
      </c>
      <c r="G102" s="35">
        <f>TablaEgreso[[#This Row],[Egreso Total]]-TablaEgreso[[#This Row],[Total Crédito Fiscal]]</f>
        <v>0</v>
      </c>
      <c r="H102" s="16"/>
      <c r="I102" s="31">
        <f>IF(TablaEgreso[[#This Row],[Crédito Fiscal]]="Si",Configuración!$B$26,0)</f>
        <v>0</v>
      </c>
      <c r="J102" s="32">
        <f>TablaEgreso[[#This Row],[Egreso Total]]*TablaEgreso[[#This Row],[% de Crédito Fiscal]]</f>
        <v>0</v>
      </c>
      <c r="K102" s="146">
        <v>0</v>
      </c>
    </row>
    <row r="103" spans="2:11" ht="20.100000000000001" customHeight="1" x14ac:dyDescent="0.25">
      <c r="B103" s="140">
        <v>45635</v>
      </c>
      <c r="C103" s="127" t="str">
        <f>IF(Egresos!$B103="","",TEXT(Egresos!$B103,"MMMM" ))</f>
        <v>diciembre</v>
      </c>
      <c r="D103" s="16" t="s">
        <v>110</v>
      </c>
      <c r="E103" s="17" t="s">
        <v>231</v>
      </c>
      <c r="F103" s="16" t="s">
        <v>121</v>
      </c>
      <c r="G103" s="35">
        <f>TablaEgreso[[#This Row],[Egreso Total]]-TablaEgreso[[#This Row],[Total Crédito Fiscal]]</f>
        <v>0</v>
      </c>
      <c r="H103" s="16"/>
      <c r="I103" s="31">
        <f>IF(TablaEgreso[[#This Row],[Crédito Fiscal]]="Si",Configuración!$B$26,0)</f>
        <v>0</v>
      </c>
      <c r="J103" s="32">
        <f>TablaEgreso[[#This Row],[Egreso Total]]*TablaEgreso[[#This Row],[% de Crédito Fiscal]]</f>
        <v>0</v>
      </c>
      <c r="K103" s="146">
        <v>0</v>
      </c>
    </row>
    <row r="104" spans="2:11" ht="20.100000000000001" customHeight="1" x14ac:dyDescent="0.25">
      <c r="B104" s="140">
        <v>45635</v>
      </c>
      <c r="C104" s="127" t="str">
        <f>IF(Egresos!$B104="","",TEXT(Egresos!$B104,"MMMM" ))</f>
        <v>diciembre</v>
      </c>
      <c r="D104" s="16" t="s">
        <v>110</v>
      </c>
      <c r="E104" s="17" t="s">
        <v>232</v>
      </c>
      <c r="F104" s="16" t="s">
        <v>121</v>
      </c>
      <c r="G104" s="35">
        <f>TablaEgreso[[#This Row],[Egreso Total]]-TablaEgreso[[#This Row],[Total Crédito Fiscal]]</f>
        <v>0</v>
      </c>
      <c r="H104" s="16"/>
      <c r="I104" s="31">
        <f>IF(TablaEgreso[[#This Row],[Crédito Fiscal]]="Si",Configuración!$B$26,0)</f>
        <v>0</v>
      </c>
      <c r="J104" s="32">
        <f>TablaEgreso[[#This Row],[Egreso Total]]*TablaEgreso[[#This Row],[% de Crédito Fiscal]]</f>
        <v>0</v>
      </c>
      <c r="K104" s="146">
        <v>0</v>
      </c>
    </row>
    <row r="105" spans="2:11" ht="20.100000000000001" customHeight="1" x14ac:dyDescent="0.25">
      <c r="B105" s="140">
        <v>45635</v>
      </c>
      <c r="C105" s="127" t="str">
        <f>IF(Egresos!$B105="","",TEXT(Egresos!$B105,"MMMM" ))</f>
        <v>diciembre</v>
      </c>
      <c r="D105" s="16" t="s">
        <v>110</v>
      </c>
      <c r="E105" s="17" t="s">
        <v>233</v>
      </c>
      <c r="F105" s="16" t="s">
        <v>121</v>
      </c>
      <c r="G105" s="35">
        <f>TablaEgreso[[#This Row],[Egreso Total]]-TablaEgreso[[#This Row],[Total Crédito Fiscal]]</f>
        <v>0</v>
      </c>
      <c r="H105" s="16"/>
      <c r="I105" s="31">
        <f>IF(TablaEgreso[[#This Row],[Crédito Fiscal]]="Si",Configuración!$B$26,0)</f>
        <v>0</v>
      </c>
      <c r="J105" s="32">
        <f>TablaEgreso[[#This Row],[Egreso Total]]*TablaEgreso[[#This Row],[% de Crédito Fiscal]]</f>
        <v>0</v>
      </c>
      <c r="K105" s="146">
        <v>0</v>
      </c>
    </row>
    <row r="106" spans="2:11" ht="20.100000000000001" customHeight="1" x14ac:dyDescent="0.25">
      <c r="B106" s="140">
        <v>45635</v>
      </c>
      <c r="C106" s="127" t="str">
        <f>IF(Egresos!$B106="","",TEXT(Egresos!$B106,"MMMM" ))</f>
        <v>diciembre</v>
      </c>
      <c r="D106" s="16" t="s">
        <v>108</v>
      </c>
      <c r="E106" s="17" t="s">
        <v>234</v>
      </c>
      <c r="F106" s="16" t="s">
        <v>13</v>
      </c>
      <c r="G106" s="35">
        <f>TablaEgreso[[#This Row],[Egreso Total]]-TablaEgreso[[#This Row],[Total Crédito Fiscal]]</f>
        <v>105066.78</v>
      </c>
      <c r="H106" s="16"/>
      <c r="I106" s="31">
        <f>IF(TablaEgreso[[#This Row],[Crédito Fiscal]]="Si",Configuración!$B$26,0)</f>
        <v>0</v>
      </c>
      <c r="J106" s="32">
        <f>TablaEgreso[[#This Row],[Egreso Total]]*TablaEgreso[[#This Row],[% de Crédito Fiscal]]</f>
        <v>0</v>
      </c>
      <c r="K106" s="146">
        <v>105066.78</v>
      </c>
    </row>
    <row r="107" spans="2:11" ht="20.100000000000001" customHeight="1" x14ac:dyDescent="0.25">
      <c r="B107" s="140">
        <v>45635</v>
      </c>
      <c r="C107" s="127" t="str">
        <f>IF(Egresos!$B107="","",TEXT(Egresos!$B107,"MMMM" ))</f>
        <v>diciembre</v>
      </c>
      <c r="D107" s="16" t="s">
        <v>108</v>
      </c>
      <c r="E107" s="17" t="s">
        <v>235</v>
      </c>
      <c r="F107" s="16" t="s">
        <v>122</v>
      </c>
      <c r="G107" s="35">
        <f>TablaEgreso[[#This Row],[Egreso Total]]-TablaEgreso[[#This Row],[Total Crédito Fiscal]]</f>
        <v>746188</v>
      </c>
      <c r="H107" s="16"/>
      <c r="I107" s="31">
        <f>IF(TablaEgreso[[#This Row],[Crédito Fiscal]]="Si",Configuración!$B$26,0)</f>
        <v>0</v>
      </c>
      <c r="J107" s="32">
        <f>TablaEgreso[[#This Row],[Egreso Total]]*TablaEgreso[[#This Row],[% de Crédito Fiscal]]</f>
        <v>0</v>
      </c>
      <c r="K107" s="146">
        <v>746188</v>
      </c>
    </row>
    <row r="108" spans="2:11" ht="20.100000000000001" customHeight="1" x14ac:dyDescent="0.25">
      <c r="B108" s="140">
        <v>45635</v>
      </c>
      <c r="C108" s="127" t="str">
        <f>IF(Egresos!$B108="","",TEXT(Egresos!$B108,"MMMM" ))</f>
        <v>diciembre</v>
      </c>
      <c r="D108" s="16" t="s">
        <v>146</v>
      </c>
      <c r="E108" s="17" t="s">
        <v>236</v>
      </c>
      <c r="F108" s="16" t="s">
        <v>13</v>
      </c>
      <c r="G108" s="35">
        <f>TablaEgreso[[#This Row],[Egreso Total]]-TablaEgreso[[#This Row],[Total Crédito Fiscal]]</f>
        <v>175536.2</v>
      </c>
      <c r="H108" s="16"/>
      <c r="I108" s="31">
        <f>IF(TablaEgreso[[#This Row],[Crédito Fiscal]]="Si",Configuración!$B$26,0)</f>
        <v>0</v>
      </c>
      <c r="J108" s="32">
        <f>TablaEgreso[[#This Row],[Egreso Total]]*TablaEgreso[[#This Row],[% de Crédito Fiscal]]</f>
        <v>0</v>
      </c>
      <c r="K108" s="146">
        <v>175536.2</v>
      </c>
    </row>
    <row r="109" spans="2:11" ht="20.100000000000001" customHeight="1" x14ac:dyDescent="0.25">
      <c r="B109" s="140">
        <v>45635</v>
      </c>
      <c r="C109" s="127" t="str">
        <f>IF(Egresos!$B109="","",TEXT(Egresos!$B109,"MMMM" ))</f>
        <v>diciembre</v>
      </c>
      <c r="D109" s="16" t="s">
        <v>146</v>
      </c>
      <c r="E109" s="17" t="s">
        <v>237</v>
      </c>
      <c r="F109" s="16" t="s">
        <v>13</v>
      </c>
      <c r="G109" s="35">
        <f>TablaEgreso[[#This Row],[Egreso Total]]-TablaEgreso[[#This Row],[Total Crédito Fiscal]]</f>
        <v>160971.43</v>
      </c>
      <c r="H109" s="16"/>
      <c r="I109" s="31">
        <f>IF(TablaEgreso[[#This Row],[Crédito Fiscal]]="Si",Configuración!$B$26,0)</f>
        <v>0</v>
      </c>
      <c r="J109" s="32">
        <f>TablaEgreso[[#This Row],[Egreso Total]]*TablaEgreso[[#This Row],[% de Crédito Fiscal]]</f>
        <v>0</v>
      </c>
      <c r="K109" s="146">
        <v>160971.43</v>
      </c>
    </row>
    <row r="110" spans="2:11" ht="20.100000000000001" customHeight="1" x14ac:dyDescent="0.25">
      <c r="B110" s="140">
        <v>45635</v>
      </c>
      <c r="C110" s="127" t="str">
        <f>IF(Egresos!$B110="","",TEXT(Egresos!$B110,"MMMM" ))</f>
        <v>diciembre</v>
      </c>
      <c r="D110" s="16" t="s">
        <v>105</v>
      </c>
      <c r="E110" s="17" t="s">
        <v>238</v>
      </c>
      <c r="F110" s="16" t="s">
        <v>13</v>
      </c>
      <c r="G110" s="35">
        <f>TablaEgreso[[#This Row],[Egreso Total]]-TablaEgreso[[#This Row],[Total Crédito Fiscal]]</f>
        <v>587276.73</v>
      </c>
      <c r="H110" s="16"/>
      <c r="I110" s="31">
        <f>IF(TablaEgreso[[#This Row],[Crédito Fiscal]]="Si",Configuración!$B$26,0)</f>
        <v>0</v>
      </c>
      <c r="J110" s="32">
        <f>TablaEgreso[[#This Row],[Egreso Total]]*TablaEgreso[[#This Row],[% de Crédito Fiscal]]</f>
        <v>0</v>
      </c>
      <c r="K110" s="146">
        <v>587276.73</v>
      </c>
    </row>
    <row r="111" spans="2:11" ht="20.100000000000001" customHeight="1" x14ac:dyDescent="0.25">
      <c r="B111" s="140">
        <v>45635</v>
      </c>
      <c r="C111" s="127" t="str">
        <f>IF(Egresos!$B111="","",TEXT(Egresos!$B111,"MMMM" ))</f>
        <v>diciembre</v>
      </c>
      <c r="D111" s="16" t="s">
        <v>100</v>
      </c>
      <c r="E111" s="17" t="s">
        <v>239</v>
      </c>
      <c r="F111" s="16" t="s">
        <v>13</v>
      </c>
      <c r="G111" s="35">
        <f>TablaEgreso[[#This Row],[Egreso Total]]-TablaEgreso[[#This Row],[Total Crédito Fiscal]]</f>
        <v>1000000</v>
      </c>
      <c r="H111" s="16"/>
      <c r="I111" s="31">
        <f>IF(TablaEgreso[[#This Row],[Crédito Fiscal]]="Si",Configuración!$B$26,0)</f>
        <v>0</v>
      </c>
      <c r="J111" s="32">
        <f>TablaEgreso[[#This Row],[Egreso Total]]*TablaEgreso[[#This Row],[% de Crédito Fiscal]]</f>
        <v>0</v>
      </c>
      <c r="K111" s="146">
        <v>1000000</v>
      </c>
    </row>
    <row r="112" spans="2:11" ht="20.100000000000001" customHeight="1" x14ac:dyDescent="0.25">
      <c r="B112" s="140">
        <v>45632</v>
      </c>
      <c r="C112" s="127" t="str">
        <f>IF(Egresos!$B112="","",TEXT(Egresos!$B112,"MMMM" ))</f>
        <v>diciembre</v>
      </c>
      <c r="D112" s="16" t="s">
        <v>19</v>
      </c>
      <c r="E112" s="17" t="s">
        <v>240</v>
      </c>
      <c r="F112" s="16" t="s">
        <v>13</v>
      </c>
      <c r="G112" s="35">
        <f>TablaEgreso[[#This Row],[Egreso Total]]-TablaEgreso[[#This Row],[Total Crédito Fiscal]]</f>
        <v>310741.8</v>
      </c>
      <c r="H112" s="16"/>
      <c r="I112" s="31">
        <f>IF(TablaEgreso[[#This Row],[Crédito Fiscal]]="Si",Configuración!$B$26,0)</f>
        <v>0</v>
      </c>
      <c r="J112" s="32">
        <f>TablaEgreso[[#This Row],[Egreso Total]]*TablaEgreso[[#This Row],[% de Crédito Fiscal]]</f>
        <v>0</v>
      </c>
      <c r="K112" s="146">
        <v>310741.8</v>
      </c>
    </row>
    <row r="113" spans="2:11" ht="20.100000000000001" customHeight="1" x14ac:dyDescent="0.25">
      <c r="B113" s="140">
        <v>45632</v>
      </c>
      <c r="C113" s="127" t="str">
        <f>IF(Egresos!$B113="","",TEXT(Egresos!$B113,"MMMM" ))</f>
        <v>diciembre</v>
      </c>
      <c r="D113" s="16" t="s">
        <v>117</v>
      </c>
      <c r="E113" s="17" t="s">
        <v>208</v>
      </c>
      <c r="F113" s="16" t="s">
        <v>13</v>
      </c>
      <c r="G113" s="35">
        <f>TablaEgreso[[#This Row],[Egreso Total]]-TablaEgreso[[#This Row],[Total Crédito Fiscal]]</f>
        <v>12416.67</v>
      </c>
      <c r="H113" s="16"/>
      <c r="I113" s="31">
        <f>IF(TablaEgreso[[#This Row],[Crédito Fiscal]]="Si",Configuración!$B$26,0)</f>
        <v>0</v>
      </c>
      <c r="J113" s="32">
        <f>TablaEgreso[[#This Row],[Egreso Total]]*TablaEgreso[[#This Row],[% de Crédito Fiscal]]</f>
        <v>0</v>
      </c>
      <c r="K113" s="146">
        <v>12416.67</v>
      </c>
    </row>
    <row r="114" spans="2:11" ht="20.100000000000001" customHeight="1" x14ac:dyDescent="0.25">
      <c r="B114" s="140">
        <v>45632</v>
      </c>
      <c r="C114" s="127" t="str">
        <f>IF(Egresos!$B114="","",TEXT(Egresos!$B114,"MMMM" ))</f>
        <v>diciembre</v>
      </c>
      <c r="D114" s="16" t="s">
        <v>117</v>
      </c>
      <c r="E114" s="17" t="s">
        <v>240</v>
      </c>
      <c r="F114" s="16" t="s">
        <v>13</v>
      </c>
      <c r="G114" s="35">
        <f>TablaEgreso[[#This Row],[Egreso Total]]-TablaEgreso[[#This Row],[Total Crédito Fiscal]]</f>
        <v>12416.67</v>
      </c>
      <c r="H114" s="16"/>
      <c r="I114" s="31">
        <f>IF(TablaEgreso[[#This Row],[Crédito Fiscal]]="Si",Configuración!$B$26,0)</f>
        <v>0</v>
      </c>
      <c r="J114" s="32">
        <f>TablaEgreso[[#This Row],[Egreso Total]]*TablaEgreso[[#This Row],[% de Crédito Fiscal]]</f>
        <v>0</v>
      </c>
      <c r="K114" s="146">
        <v>12416.67</v>
      </c>
    </row>
    <row r="115" spans="2:11" ht="20.100000000000001" customHeight="1" x14ac:dyDescent="0.25">
      <c r="B115" s="140">
        <v>45627</v>
      </c>
      <c r="C115" s="127" t="str">
        <f>IF(Egresos!$B15="","",TEXT(Egresos!$B15,"MMMM" ))</f>
        <v>diciembre</v>
      </c>
      <c r="D115" s="16" t="s">
        <v>9</v>
      </c>
      <c r="E115" s="17" t="s">
        <v>155</v>
      </c>
      <c r="F115" s="16" t="s">
        <v>119</v>
      </c>
      <c r="G115" s="35">
        <f>TablaEgreso[[#This Row],[Egreso Total]]-TablaEgreso[[#This Row],[Total Crédito Fiscal]]</f>
        <v>49000</v>
      </c>
      <c r="H115" s="16"/>
      <c r="I115" s="31">
        <f>IF(TablaEgreso[[#This Row],[Crédito Fiscal]]="Si",Configuración!$B$26,0)</f>
        <v>0</v>
      </c>
      <c r="J115" s="32">
        <f>TablaEgreso[[#This Row],[Egreso Total]]*TablaEgreso[[#This Row],[% de Crédito Fiscal]]</f>
        <v>0</v>
      </c>
      <c r="K115" s="146">
        <v>49000</v>
      </c>
    </row>
    <row r="116" spans="2:11" ht="20.100000000000001" customHeight="1" x14ac:dyDescent="0.25">
      <c r="B116" s="140">
        <v>45632</v>
      </c>
      <c r="C116" s="127" t="str">
        <f>IF(Egresos!$B116="","",TEXT(Egresos!$B116,"MMMM" ))</f>
        <v>diciembre</v>
      </c>
      <c r="D116" s="16" t="s">
        <v>117</v>
      </c>
      <c r="E116" s="17" t="s">
        <v>135</v>
      </c>
      <c r="F116" s="16" t="s">
        <v>13</v>
      </c>
      <c r="G116" s="35">
        <f>TablaEgreso[[#This Row],[Egreso Total]]-TablaEgreso[[#This Row],[Total Crédito Fiscal]]</f>
        <v>12416.67</v>
      </c>
      <c r="H116" s="16"/>
      <c r="I116" s="31">
        <f>IF(TablaEgreso[[#This Row],[Crédito Fiscal]]="Si",Configuración!$B$26,0)</f>
        <v>0</v>
      </c>
      <c r="J116" s="32">
        <f>TablaEgreso[[#This Row],[Egreso Total]]*TablaEgreso[[#This Row],[% de Crédito Fiscal]]</f>
        <v>0</v>
      </c>
      <c r="K116" s="146">
        <v>12416.67</v>
      </c>
    </row>
    <row r="117" spans="2:11" ht="20.100000000000001" customHeight="1" x14ac:dyDescent="0.25">
      <c r="B117" s="140">
        <v>45632</v>
      </c>
      <c r="C117" s="127" t="str">
        <f>IF(Egresos!$B117="","",TEXT(Egresos!$B117,"MMMM" ))</f>
        <v>diciembre</v>
      </c>
      <c r="D117" s="16" t="s">
        <v>117</v>
      </c>
      <c r="E117" s="17" t="s">
        <v>207</v>
      </c>
      <c r="F117" s="16" t="s">
        <v>13</v>
      </c>
      <c r="G117" s="35">
        <f>TablaEgreso[[#This Row],[Egreso Total]]-TablaEgreso[[#This Row],[Total Crédito Fiscal]]</f>
        <v>12416.67</v>
      </c>
      <c r="H117" s="16"/>
      <c r="I117" s="31">
        <f>IF(TablaEgreso[[#This Row],[Crédito Fiscal]]="Si",Configuración!$B$26,0)</f>
        <v>0</v>
      </c>
      <c r="J117" s="32">
        <f>TablaEgreso[[#This Row],[Egreso Total]]*TablaEgreso[[#This Row],[% de Crédito Fiscal]]</f>
        <v>0</v>
      </c>
      <c r="K117" s="146">
        <v>12416.67</v>
      </c>
    </row>
    <row r="118" spans="2:11" ht="20.100000000000001" customHeight="1" x14ac:dyDescent="0.25">
      <c r="B118" s="140">
        <v>45635</v>
      </c>
      <c r="C118" s="127" t="str">
        <f>IF(Egresos!$B118="","",TEXT(Egresos!$B118,"MMMM" ))</f>
        <v>diciembre</v>
      </c>
      <c r="D118" s="16" t="s">
        <v>109</v>
      </c>
      <c r="E118" s="17" t="s">
        <v>242</v>
      </c>
      <c r="F118" s="16" t="s">
        <v>123</v>
      </c>
      <c r="G118" s="35">
        <f>TablaEgreso[[#This Row],[Egreso Total]]-TablaEgreso[[#This Row],[Total Crédito Fiscal]]</f>
        <v>89599.58</v>
      </c>
      <c r="H118" s="16"/>
      <c r="I118" s="31">
        <f>IF(TablaEgreso[[#This Row],[Crédito Fiscal]]="Si",Configuración!$B$26,0)</f>
        <v>0</v>
      </c>
      <c r="J118" s="32">
        <f>TablaEgreso[[#This Row],[Egreso Total]]*TablaEgreso[[#This Row],[% de Crédito Fiscal]]</f>
        <v>0</v>
      </c>
      <c r="K118" s="146">
        <v>89599.58</v>
      </c>
    </row>
    <row r="119" spans="2:11" ht="20.100000000000001" customHeight="1" x14ac:dyDescent="0.25">
      <c r="B119" s="140">
        <v>45637</v>
      </c>
      <c r="C119" s="127" t="str">
        <f>IF(Egresos!$B204="","",TEXT(Egresos!$B204,"MMMM" ))</f>
        <v>diciembre</v>
      </c>
      <c r="D119" s="16" t="s">
        <v>9</v>
      </c>
      <c r="E119" s="17" t="s">
        <v>320</v>
      </c>
      <c r="F119" s="16" t="s">
        <v>119</v>
      </c>
      <c r="G119" s="35">
        <f>TablaEgreso[[#This Row],[Egreso Total]]-TablaEgreso[[#This Row],[Total Crédito Fiscal]]</f>
        <v>42000</v>
      </c>
      <c r="H119" s="16"/>
      <c r="I119" s="31">
        <f>IF(TablaEgreso[[#This Row],[Crédito Fiscal]]="Si",Configuración!$B$26,0)</f>
        <v>0</v>
      </c>
      <c r="J119" s="32">
        <f>TablaEgreso[[#This Row],[Egreso Total]]*TablaEgreso[[#This Row],[% de Crédito Fiscal]]</f>
        <v>0</v>
      </c>
      <c r="K119" s="146">
        <v>42000</v>
      </c>
    </row>
    <row r="120" spans="2:11" ht="20.100000000000001" customHeight="1" x14ac:dyDescent="0.25">
      <c r="B120" s="140">
        <v>45640</v>
      </c>
      <c r="C120" s="127" t="str">
        <f>IF(Egresos!$B271="","",TEXT(Egresos!$B271,"MMMM" ))</f>
        <v>diciembre</v>
      </c>
      <c r="D120" s="16" t="s">
        <v>9</v>
      </c>
      <c r="E120" s="17" t="s">
        <v>320</v>
      </c>
      <c r="F120" s="16" t="s">
        <v>119</v>
      </c>
      <c r="G120" s="35">
        <f>TablaEgreso[[#This Row],[Egreso Total]]-TablaEgreso[[#This Row],[Total Crédito Fiscal]]</f>
        <v>49000</v>
      </c>
      <c r="H120" s="16"/>
      <c r="I120" s="31">
        <f>IF(TablaEgreso[[#This Row],[Crédito Fiscal]]="Si",Configuración!$B$26,0)</f>
        <v>0</v>
      </c>
      <c r="J120" s="32">
        <f>TablaEgreso[[#This Row],[Egreso Total]]*TablaEgreso[[#This Row],[% de Crédito Fiscal]]</f>
        <v>0</v>
      </c>
      <c r="K120" s="146">
        <v>49000</v>
      </c>
    </row>
    <row r="121" spans="2:11" ht="20.100000000000001" customHeight="1" x14ac:dyDescent="0.25">
      <c r="B121" s="140">
        <v>45632</v>
      </c>
      <c r="C121" s="127" t="str">
        <f>IF(Egresos!$B121="","",TEXT(Egresos!$B121,"MMMM" ))</f>
        <v>diciembre</v>
      </c>
      <c r="D121" s="16" t="s">
        <v>146</v>
      </c>
      <c r="E121" s="17" t="s">
        <v>245</v>
      </c>
      <c r="F121" s="16" t="s">
        <v>13</v>
      </c>
      <c r="G121" s="35">
        <f>TablaEgreso[[#This Row],[Egreso Total]]-TablaEgreso[[#This Row],[Total Crédito Fiscal]]</f>
        <v>54259.75</v>
      </c>
      <c r="H121" s="16"/>
      <c r="I121" s="31">
        <f>IF(TablaEgreso[[#This Row],[Crédito Fiscal]]="Si",Configuración!$B$26,0)</f>
        <v>0</v>
      </c>
      <c r="J121" s="32">
        <f>TablaEgreso[[#This Row],[Egreso Total]]*TablaEgreso[[#This Row],[% de Crédito Fiscal]]</f>
        <v>0</v>
      </c>
      <c r="K121" s="146">
        <v>54259.75</v>
      </c>
    </row>
    <row r="122" spans="2:11" ht="20.100000000000001" customHeight="1" x14ac:dyDescent="0.25">
      <c r="B122" s="140">
        <v>45635</v>
      </c>
      <c r="C122" s="127" t="str">
        <f>IF(Egresos!$B122="","",TEXT(Egresos!$B122,"MMMM" ))</f>
        <v>diciembre</v>
      </c>
      <c r="D122" s="16" t="s">
        <v>9</v>
      </c>
      <c r="E122" s="17" t="s">
        <v>248</v>
      </c>
      <c r="F122" s="16" t="s">
        <v>118</v>
      </c>
      <c r="G122" s="35">
        <f>TablaEgreso[[#This Row],[Egreso Total]]-TablaEgreso[[#This Row],[Total Crédito Fiscal]]</f>
        <v>25000</v>
      </c>
      <c r="H122" s="16"/>
      <c r="I122" s="31">
        <f>IF(TablaEgreso[[#This Row],[Crédito Fiscal]]="Si",Configuración!$B$26,0)</f>
        <v>0</v>
      </c>
      <c r="J122" s="32">
        <f>TablaEgreso[[#This Row],[Egreso Total]]*TablaEgreso[[#This Row],[% de Crédito Fiscal]]</f>
        <v>0</v>
      </c>
      <c r="K122" s="146">
        <v>25000</v>
      </c>
    </row>
    <row r="123" spans="2:11" ht="20.100000000000001" customHeight="1" x14ac:dyDescent="0.25">
      <c r="B123" s="140">
        <v>45635</v>
      </c>
      <c r="C123" s="127" t="str">
        <f>IF(Egresos!$B123="","",TEXT(Egresos!$B123,"MMMM" ))</f>
        <v>diciembre</v>
      </c>
      <c r="D123" s="16" t="s">
        <v>145</v>
      </c>
      <c r="E123" s="17" t="s">
        <v>247</v>
      </c>
      <c r="F123" s="16" t="s">
        <v>118</v>
      </c>
      <c r="G123" s="35">
        <f>TablaEgreso[[#This Row],[Egreso Total]]-TablaEgreso[[#This Row],[Total Crédito Fiscal]]</f>
        <v>68600</v>
      </c>
      <c r="H123" s="16"/>
      <c r="I123" s="31">
        <f>IF(TablaEgreso[[#This Row],[Crédito Fiscal]]="Si",Configuración!$B$26,0)</f>
        <v>0</v>
      </c>
      <c r="J123" s="32">
        <f>TablaEgreso[[#This Row],[Egreso Total]]*TablaEgreso[[#This Row],[% de Crédito Fiscal]]</f>
        <v>0</v>
      </c>
      <c r="K123" s="146">
        <v>68600</v>
      </c>
    </row>
    <row r="124" spans="2:11" ht="20.100000000000001" customHeight="1" x14ac:dyDescent="0.25">
      <c r="B124" s="140">
        <v>45635</v>
      </c>
      <c r="C124" s="127" t="str">
        <f>IF(Egresos!$B124="","",TEXT(Egresos!$B124,"MMMM" ))</f>
        <v>diciembre</v>
      </c>
      <c r="D124" s="16" t="s">
        <v>108</v>
      </c>
      <c r="E124" s="17" t="s">
        <v>249</v>
      </c>
      <c r="F124" s="16" t="s">
        <v>118</v>
      </c>
      <c r="G124" s="35">
        <f>TablaEgreso[[#This Row],[Egreso Total]]-TablaEgreso[[#This Row],[Total Crédito Fiscal]]</f>
        <v>97600</v>
      </c>
      <c r="H124" s="16"/>
      <c r="I124" s="31">
        <f>IF(TablaEgreso[[#This Row],[Crédito Fiscal]]="Si",Configuración!$B$26,0)</f>
        <v>0</v>
      </c>
      <c r="J124" s="32">
        <f>TablaEgreso[[#This Row],[Egreso Total]]*TablaEgreso[[#This Row],[% de Crédito Fiscal]]</f>
        <v>0</v>
      </c>
      <c r="K124" s="146">
        <v>97600</v>
      </c>
    </row>
    <row r="125" spans="2:11" ht="20.100000000000001" customHeight="1" x14ac:dyDescent="0.25">
      <c r="B125" s="140">
        <v>45635</v>
      </c>
      <c r="C125" s="127" t="str">
        <f>IF(Egresos!$B125="","",TEXT(Egresos!$B125,"MMMM" ))</f>
        <v>diciembre</v>
      </c>
      <c r="D125" s="16" t="s">
        <v>114</v>
      </c>
      <c r="E125" s="17" t="s">
        <v>250</v>
      </c>
      <c r="F125" s="16" t="s">
        <v>119</v>
      </c>
      <c r="G125" s="35">
        <f>TablaEgreso[[#This Row],[Egreso Total]]-TablaEgreso[[#This Row],[Total Crédito Fiscal]]</f>
        <v>0</v>
      </c>
      <c r="H125" s="16"/>
      <c r="I125" s="31">
        <f>IF(TablaEgreso[[#This Row],[Crédito Fiscal]]="Si",Configuración!$B$26,0)</f>
        <v>0</v>
      </c>
      <c r="J125" s="32">
        <f>TablaEgreso[[#This Row],[Egreso Total]]*TablaEgreso[[#This Row],[% de Crédito Fiscal]]</f>
        <v>0</v>
      </c>
      <c r="K125" s="146">
        <v>0</v>
      </c>
    </row>
    <row r="126" spans="2:11" ht="20.100000000000001" customHeight="1" x14ac:dyDescent="0.25">
      <c r="B126" s="140">
        <v>45636</v>
      </c>
      <c r="C126" s="127" t="str">
        <f>IF(Egresos!$B157="","",TEXT(Egresos!$B157,"MMMM" ))</f>
        <v>diciembre</v>
      </c>
      <c r="D126" s="16" t="s">
        <v>142</v>
      </c>
      <c r="E126" s="17" t="s">
        <v>278</v>
      </c>
      <c r="F126" s="16" t="s">
        <v>119</v>
      </c>
      <c r="G126" s="35">
        <f>TablaEgreso[[#This Row],[Egreso Total]]-TablaEgreso[[#This Row],[Total Crédito Fiscal]]</f>
        <v>17700</v>
      </c>
      <c r="H126" s="16"/>
      <c r="I126" s="31">
        <f>IF(TablaEgreso[[#This Row],[Crédito Fiscal]]="Si",Configuración!$B$26,0)</f>
        <v>0</v>
      </c>
      <c r="J126" s="32">
        <f>TablaEgreso[[#This Row],[Egreso Total]]*TablaEgreso[[#This Row],[% de Crédito Fiscal]]</f>
        <v>0</v>
      </c>
      <c r="K126" s="146">
        <v>17700</v>
      </c>
    </row>
    <row r="127" spans="2:11" ht="20.100000000000001" customHeight="1" x14ac:dyDescent="0.25">
      <c r="B127" s="140">
        <v>45639</v>
      </c>
      <c r="C127" s="127" t="str">
        <f>IF(Egresos!$B266="","",TEXT(Egresos!$B266,"MMMM" ))</f>
        <v>diciembre</v>
      </c>
      <c r="D127" s="16" t="s">
        <v>113</v>
      </c>
      <c r="E127" s="17" t="s">
        <v>371</v>
      </c>
      <c r="F127" s="16" t="s">
        <v>119</v>
      </c>
      <c r="G127" s="35">
        <f>TablaEgreso[[#This Row],[Egreso Total]]-TablaEgreso[[#This Row],[Total Crédito Fiscal]]</f>
        <v>193100</v>
      </c>
      <c r="H127" s="16"/>
      <c r="I127" s="31">
        <f>IF(TablaEgreso[[#This Row],[Crédito Fiscal]]="Si",Configuración!$B$26,0)</f>
        <v>0</v>
      </c>
      <c r="J127" s="32">
        <f>TablaEgreso[[#This Row],[Egreso Total]]*TablaEgreso[[#This Row],[% de Crédito Fiscal]]</f>
        <v>0</v>
      </c>
      <c r="K127" s="146">
        <v>193100</v>
      </c>
    </row>
    <row r="128" spans="2:11" ht="20.100000000000001" customHeight="1" x14ac:dyDescent="0.25">
      <c r="B128" s="140">
        <v>45635</v>
      </c>
      <c r="C128" s="127" t="str">
        <f>IF(Egresos!$B128="","",TEXT(Egresos!$B128,"MMMM" ))</f>
        <v>diciembre</v>
      </c>
      <c r="D128" s="16" t="s">
        <v>113</v>
      </c>
      <c r="E128" s="17" t="s">
        <v>253</v>
      </c>
      <c r="F128" s="16" t="s">
        <v>120</v>
      </c>
      <c r="G128" s="35">
        <f>TablaEgreso[[#This Row],[Egreso Total]]-TablaEgreso[[#This Row],[Total Crédito Fiscal]]</f>
        <v>196000</v>
      </c>
      <c r="H128" s="16"/>
      <c r="I128" s="31">
        <f>IF(TablaEgreso[[#This Row],[Crédito Fiscal]]="Si",Configuración!$B$26,0)</f>
        <v>0</v>
      </c>
      <c r="J128" s="32">
        <f>TablaEgreso[[#This Row],[Egreso Total]]*TablaEgreso[[#This Row],[% de Crédito Fiscal]]</f>
        <v>0</v>
      </c>
      <c r="K128" s="146">
        <v>196000</v>
      </c>
    </row>
    <row r="129" spans="2:11" ht="20.100000000000001" customHeight="1" x14ac:dyDescent="0.25">
      <c r="B129" s="140">
        <v>45635</v>
      </c>
      <c r="C129" s="127" t="str">
        <f>IF(Egresos!$B129="","",TEXT(Egresos!$B129,"MMMM" ))</f>
        <v>diciembre</v>
      </c>
      <c r="D129" s="16" t="s">
        <v>113</v>
      </c>
      <c r="E129" s="17" t="s">
        <v>161</v>
      </c>
      <c r="F129" s="16" t="s">
        <v>120</v>
      </c>
      <c r="G129" s="35">
        <f>TablaEgreso[[#This Row],[Egreso Total]]-TablaEgreso[[#This Row],[Total Crédito Fiscal]]</f>
        <v>5000</v>
      </c>
      <c r="H129" s="16"/>
      <c r="I129" s="31">
        <f>IF(TablaEgreso[[#This Row],[Crédito Fiscal]]="Si",Configuración!$B$26,0)</f>
        <v>0</v>
      </c>
      <c r="J129" s="32">
        <f>TablaEgreso[[#This Row],[Egreso Total]]*TablaEgreso[[#This Row],[% de Crédito Fiscal]]</f>
        <v>0</v>
      </c>
      <c r="K129" s="146">
        <v>5000</v>
      </c>
    </row>
    <row r="130" spans="2:11" ht="20.100000000000001" customHeight="1" x14ac:dyDescent="0.25">
      <c r="B130" s="140">
        <v>45635</v>
      </c>
      <c r="C130" s="127" t="str">
        <f>IF(Egresos!$B130="","",TEXT(Egresos!$B130,"MMMM" ))</f>
        <v>diciembre</v>
      </c>
      <c r="D130" s="16" t="s">
        <v>109</v>
      </c>
      <c r="E130" s="17" t="s">
        <v>254</v>
      </c>
      <c r="F130" s="16" t="s">
        <v>120</v>
      </c>
      <c r="G130" s="35">
        <f>TablaEgreso[[#This Row],[Egreso Total]]-TablaEgreso[[#This Row],[Total Crédito Fiscal]]</f>
        <v>3835</v>
      </c>
      <c r="H130" s="16"/>
      <c r="I130" s="31">
        <f>IF(TablaEgreso[[#This Row],[Crédito Fiscal]]="Si",Configuración!$B$26,0)</f>
        <v>0</v>
      </c>
      <c r="J130" s="32">
        <f>TablaEgreso[[#This Row],[Egreso Total]]*TablaEgreso[[#This Row],[% de Crédito Fiscal]]</f>
        <v>0</v>
      </c>
      <c r="K130" s="146">
        <v>3835</v>
      </c>
    </row>
    <row r="131" spans="2:11" ht="20.100000000000001" customHeight="1" x14ac:dyDescent="0.25">
      <c r="B131" s="140">
        <v>45636</v>
      </c>
      <c r="C131" s="127" t="str">
        <f>IF(Egresos!$B131="","",TEXT(Egresos!$B131,"MMMM" ))</f>
        <v>diciembre</v>
      </c>
      <c r="D131" s="16" t="s">
        <v>113</v>
      </c>
      <c r="E131" s="17" t="s">
        <v>255</v>
      </c>
      <c r="F131" s="16" t="s">
        <v>13</v>
      </c>
      <c r="G131" s="35">
        <f>TablaEgreso[[#This Row],[Egreso Total]]-TablaEgreso[[#This Row],[Total Crédito Fiscal]]</f>
        <v>359390.26</v>
      </c>
      <c r="H131" s="16"/>
      <c r="I131" s="31">
        <f>IF(TablaEgreso[[#This Row],[Crédito Fiscal]]="Si",Configuración!$B$26,0)</f>
        <v>0</v>
      </c>
      <c r="J131" s="32">
        <f>TablaEgreso[[#This Row],[Egreso Total]]*TablaEgreso[[#This Row],[% de Crédito Fiscal]]</f>
        <v>0</v>
      </c>
      <c r="K131" s="146">
        <v>359390.26</v>
      </c>
    </row>
    <row r="132" spans="2:11" ht="20.100000000000001" customHeight="1" x14ac:dyDescent="0.25">
      <c r="B132" s="140">
        <v>45636</v>
      </c>
      <c r="C132" s="127" t="str">
        <f>IF(Egresos!$B132="","",TEXT(Egresos!$B132,"MMMM" ))</f>
        <v>diciembre</v>
      </c>
      <c r="D132" s="16" t="s">
        <v>113</v>
      </c>
      <c r="E132" s="17" t="s">
        <v>256</v>
      </c>
      <c r="F132" s="16" t="s">
        <v>13</v>
      </c>
      <c r="G132" s="35">
        <f>TablaEgreso[[#This Row],[Egreso Total]]-TablaEgreso[[#This Row],[Total Crédito Fiscal]]</f>
        <v>175090.63</v>
      </c>
      <c r="H132" s="16"/>
      <c r="I132" s="31">
        <f>IF(TablaEgreso[[#This Row],[Crédito Fiscal]]="Si",Configuración!$B$26,0)</f>
        <v>0</v>
      </c>
      <c r="J132" s="32">
        <f>TablaEgreso[[#This Row],[Egreso Total]]*TablaEgreso[[#This Row],[% de Crédito Fiscal]]</f>
        <v>0</v>
      </c>
      <c r="K132" s="146">
        <v>175090.63</v>
      </c>
    </row>
    <row r="133" spans="2:11" ht="20.100000000000001" customHeight="1" x14ac:dyDescent="0.25">
      <c r="B133" s="140">
        <v>45636</v>
      </c>
      <c r="C133" s="127" t="str">
        <f>IF(Egresos!$B133="","",TEXT(Egresos!$B133,"MMMM" ))</f>
        <v>diciembre</v>
      </c>
      <c r="D133" s="16" t="s">
        <v>113</v>
      </c>
      <c r="E133" s="17" t="s">
        <v>257</v>
      </c>
      <c r="F133" s="16" t="s">
        <v>13</v>
      </c>
      <c r="G133" s="35">
        <f>TablaEgreso[[#This Row],[Egreso Total]]-TablaEgreso[[#This Row],[Total Crédito Fiscal]]</f>
        <v>93400</v>
      </c>
      <c r="H133" s="16"/>
      <c r="I133" s="31">
        <f>IF(TablaEgreso[[#This Row],[Crédito Fiscal]]="Si",Configuración!$B$26,0)</f>
        <v>0</v>
      </c>
      <c r="J133" s="32">
        <f>TablaEgreso[[#This Row],[Egreso Total]]*TablaEgreso[[#This Row],[% de Crédito Fiscal]]</f>
        <v>0</v>
      </c>
      <c r="K133" s="146">
        <v>93400</v>
      </c>
    </row>
    <row r="134" spans="2:11" ht="20.100000000000001" customHeight="1" x14ac:dyDescent="0.25">
      <c r="B134" s="140">
        <v>45636</v>
      </c>
      <c r="C134" s="127" t="str">
        <f>IF(Egresos!$B134="","",TEXT(Egresos!$B134,"MMMM" ))</f>
        <v>diciembre</v>
      </c>
      <c r="D134" s="16" t="s">
        <v>113</v>
      </c>
      <c r="E134" s="17" t="s">
        <v>258</v>
      </c>
      <c r="F134" s="16" t="s">
        <v>13</v>
      </c>
      <c r="G134" s="35">
        <f>TablaEgreso[[#This Row],[Egreso Total]]-TablaEgreso[[#This Row],[Total Crédito Fiscal]]</f>
        <v>76678.84</v>
      </c>
      <c r="H134" s="16"/>
      <c r="I134" s="31">
        <f>IF(TablaEgreso[[#This Row],[Crédito Fiscal]]="Si",Configuración!$B$26,0)</f>
        <v>0</v>
      </c>
      <c r="J134" s="32">
        <f>TablaEgreso[[#This Row],[Egreso Total]]*TablaEgreso[[#This Row],[% de Crédito Fiscal]]</f>
        <v>0</v>
      </c>
      <c r="K134" s="146">
        <v>76678.84</v>
      </c>
    </row>
    <row r="135" spans="2:11" ht="20.100000000000001" customHeight="1" x14ac:dyDescent="0.25">
      <c r="B135" s="140">
        <v>45636</v>
      </c>
      <c r="C135" s="127" t="str">
        <f>IF(Egresos!$B135="","",TEXT(Egresos!$B135,"MMMM" ))</f>
        <v>diciembre</v>
      </c>
      <c r="D135" s="16" t="s">
        <v>113</v>
      </c>
      <c r="E135" s="17" t="s">
        <v>259</v>
      </c>
      <c r="F135" s="16" t="s">
        <v>13</v>
      </c>
      <c r="G135" s="35">
        <f>TablaEgreso[[#This Row],[Egreso Total]]-TablaEgreso[[#This Row],[Total Crédito Fiscal]]</f>
        <v>94074.33</v>
      </c>
      <c r="H135" s="16"/>
      <c r="I135" s="31">
        <f>IF(TablaEgreso[[#This Row],[Crédito Fiscal]]="Si",Configuración!$B$26,0)</f>
        <v>0</v>
      </c>
      <c r="J135" s="32">
        <f>TablaEgreso[[#This Row],[Egreso Total]]*TablaEgreso[[#This Row],[% de Crédito Fiscal]]</f>
        <v>0</v>
      </c>
      <c r="K135" s="146">
        <v>94074.33</v>
      </c>
    </row>
    <row r="136" spans="2:11" ht="20.100000000000001" customHeight="1" x14ac:dyDescent="0.25">
      <c r="B136" s="140">
        <v>45636</v>
      </c>
      <c r="C136" s="127" t="str">
        <f>IF(Egresos!$B136="","",TEXT(Egresos!$B136,"MMMM" ))</f>
        <v>diciembre</v>
      </c>
      <c r="D136" s="16" t="s">
        <v>113</v>
      </c>
      <c r="E136" s="17" t="s">
        <v>260</v>
      </c>
      <c r="F136" s="16" t="s">
        <v>13</v>
      </c>
      <c r="G136" s="35">
        <f>TablaEgreso[[#This Row],[Egreso Total]]-TablaEgreso[[#This Row],[Total Crédito Fiscal]]</f>
        <v>51020.13</v>
      </c>
      <c r="H136" s="16"/>
      <c r="I136" s="31">
        <f>IF(TablaEgreso[[#This Row],[Crédito Fiscal]]="Si",Configuración!$B$26,0)</f>
        <v>0</v>
      </c>
      <c r="J136" s="32">
        <f>TablaEgreso[[#This Row],[Egreso Total]]*TablaEgreso[[#This Row],[% de Crédito Fiscal]]</f>
        <v>0</v>
      </c>
      <c r="K136" s="146">
        <v>51020.13</v>
      </c>
    </row>
    <row r="137" spans="2:11" ht="20.100000000000001" customHeight="1" x14ac:dyDescent="0.25">
      <c r="B137" s="140">
        <v>45636</v>
      </c>
      <c r="C137" s="127" t="str">
        <f>IF(Egresos!$B137="","",TEXT(Egresos!$B137,"MMMM" ))</f>
        <v>diciembre</v>
      </c>
      <c r="D137" s="16" t="s">
        <v>112</v>
      </c>
      <c r="E137" s="17" t="s">
        <v>261</v>
      </c>
      <c r="F137" s="16" t="s">
        <v>13</v>
      </c>
      <c r="G137" s="35">
        <f>TablaEgreso[[#This Row],[Egreso Total]]-TablaEgreso[[#This Row],[Total Crédito Fiscal]]</f>
        <v>129172.11</v>
      </c>
      <c r="H137" s="16"/>
      <c r="I137" s="31">
        <f>IF(TablaEgreso[[#This Row],[Crédito Fiscal]]="Si",Configuración!$B$26,0)</f>
        <v>0</v>
      </c>
      <c r="J137" s="32">
        <f>TablaEgreso[[#This Row],[Egreso Total]]*TablaEgreso[[#This Row],[% de Crédito Fiscal]]</f>
        <v>0</v>
      </c>
      <c r="K137" s="146">
        <v>129172.11</v>
      </c>
    </row>
    <row r="138" spans="2:11" ht="20.100000000000001" customHeight="1" x14ac:dyDescent="0.25">
      <c r="B138" s="140">
        <v>45636</v>
      </c>
      <c r="C138" s="127" t="str">
        <f>IF(Egresos!$B138="","",TEXT(Egresos!$B138,"MMMM" ))</f>
        <v>diciembre</v>
      </c>
      <c r="D138" s="16" t="s">
        <v>113</v>
      </c>
      <c r="E138" s="17" t="s">
        <v>262</v>
      </c>
      <c r="F138" s="16" t="s">
        <v>13</v>
      </c>
      <c r="G138" s="35">
        <f>TablaEgreso[[#This Row],[Egreso Total]]-TablaEgreso[[#This Row],[Total Crédito Fiscal]]</f>
        <v>55069</v>
      </c>
      <c r="H138" s="16"/>
      <c r="I138" s="31">
        <f>IF(TablaEgreso[[#This Row],[Crédito Fiscal]]="Si",Configuración!$B$26,0)</f>
        <v>0</v>
      </c>
      <c r="J138" s="32">
        <f>TablaEgreso[[#This Row],[Egreso Total]]*TablaEgreso[[#This Row],[% de Crédito Fiscal]]</f>
        <v>0</v>
      </c>
      <c r="K138" s="146">
        <v>55069</v>
      </c>
    </row>
    <row r="139" spans="2:11" ht="20.100000000000001" customHeight="1" x14ac:dyDescent="0.25">
      <c r="B139" s="140">
        <v>45636</v>
      </c>
      <c r="C139" s="127" t="str">
        <f>IF(Egresos!$B139="","",TEXT(Egresos!$B139,"MMMM" ))</f>
        <v>diciembre</v>
      </c>
      <c r="D139" s="16" t="s">
        <v>113</v>
      </c>
      <c r="E139" s="17" t="s">
        <v>263</v>
      </c>
      <c r="F139" s="16" t="s">
        <v>122</v>
      </c>
      <c r="G139" s="35">
        <f>TablaEgreso[[#This Row],[Egreso Total]]-TablaEgreso[[#This Row],[Total Crédito Fiscal]]</f>
        <v>1774015.3</v>
      </c>
      <c r="H139" s="16"/>
      <c r="I139" s="31">
        <f>IF(TablaEgreso[[#This Row],[Crédito Fiscal]]="Si",Configuración!$B$26,0)</f>
        <v>0</v>
      </c>
      <c r="J139" s="32">
        <f>TablaEgreso[[#This Row],[Egreso Total]]*TablaEgreso[[#This Row],[% de Crédito Fiscal]]</f>
        <v>0</v>
      </c>
      <c r="K139" s="146">
        <v>1774015.3</v>
      </c>
    </row>
    <row r="140" spans="2:11" ht="20.100000000000001" customHeight="1" x14ac:dyDescent="0.25">
      <c r="B140" s="140">
        <v>45636</v>
      </c>
      <c r="C140" s="127" t="str">
        <f>IF(Egresos!$B140="","",TEXT(Egresos!$B140,"MMMM" ))</f>
        <v>diciembre</v>
      </c>
      <c r="D140" s="16" t="s">
        <v>113</v>
      </c>
      <c r="E140" s="17" t="s">
        <v>264</v>
      </c>
      <c r="F140" s="16" t="s">
        <v>13</v>
      </c>
      <c r="G140" s="35">
        <f>TablaEgreso[[#This Row],[Egreso Total]]-TablaEgreso[[#This Row],[Total Crédito Fiscal]]</f>
        <v>351985.78</v>
      </c>
      <c r="H140" s="16"/>
      <c r="I140" s="31">
        <f>IF(TablaEgreso[[#This Row],[Crédito Fiscal]]="Si",Configuración!$B$26,0)</f>
        <v>0</v>
      </c>
      <c r="J140" s="32">
        <f>TablaEgreso[[#This Row],[Egreso Total]]*TablaEgreso[[#This Row],[% de Crédito Fiscal]]</f>
        <v>0</v>
      </c>
      <c r="K140" s="146">
        <v>351985.78</v>
      </c>
    </row>
    <row r="141" spans="2:11" ht="20.100000000000001" customHeight="1" x14ac:dyDescent="0.25">
      <c r="B141" s="140">
        <v>45636</v>
      </c>
      <c r="C141" s="127" t="str">
        <f>IF(Egresos!$B141="","",TEXT(Egresos!$B141,"MMMM" ))</f>
        <v>diciembre</v>
      </c>
      <c r="D141" s="16" t="s">
        <v>144</v>
      </c>
      <c r="E141" s="17" t="s">
        <v>265</v>
      </c>
      <c r="F141" s="16" t="s">
        <v>13</v>
      </c>
      <c r="G141" s="35">
        <f>TablaEgreso[[#This Row],[Egreso Total]]-TablaEgreso[[#This Row],[Total Crédito Fiscal]]</f>
        <v>142910.66</v>
      </c>
      <c r="H141" s="16"/>
      <c r="I141" s="31">
        <f>IF(TablaEgreso[[#This Row],[Crédito Fiscal]]="Si",Configuración!$B$26,0)</f>
        <v>0</v>
      </c>
      <c r="J141" s="32">
        <f>TablaEgreso[[#This Row],[Egreso Total]]*TablaEgreso[[#This Row],[% de Crédito Fiscal]]</f>
        <v>0</v>
      </c>
      <c r="K141" s="146">
        <v>142910.66</v>
      </c>
    </row>
    <row r="142" spans="2:11" ht="20.100000000000001" customHeight="1" x14ac:dyDescent="0.25">
      <c r="B142" s="140">
        <v>45636</v>
      </c>
      <c r="C142" s="127" t="str">
        <f>IF(Egresos!$B142="","",TEXT(Egresos!$B142,"MMMM" ))</f>
        <v>diciembre</v>
      </c>
      <c r="D142" s="16" t="s">
        <v>113</v>
      </c>
      <c r="E142" s="17" t="s">
        <v>266</v>
      </c>
      <c r="F142" s="16" t="s">
        <v>13</v>
      </c>
      <c r="G142" s="35">
        <f>TablaEgreso[[#This Row],[Egreso Total]]-TablaEgreso[[#This Row],[Total Crédito Fiscal]]</f>
        <v>242380.56</v>
      </c>
      <c r="H142" s="16"/>
      <c r="I142" s="31">
        <f>IF(TablaEgreso[[#This Row],[Crédito Fiscal]]="Si",Configuración!$B$26,0)</f>
        <v>0</v>
      </c>
      <c r="J142" s="32">
        <f>TablaEgreso[[#This Row],[Egreso Total]]*TablaEgreso[[#This Row],[% de Crédito Fiscal]]</f>
        <v>0</v>
      </c>
      <c r="K142" s="146">
        <v>242380.56</v>
      </c>
    </row>
    <row r="143" spans="2:11" ht="20.100000000000001" customHeight="1" x14ac:dyDescent="0.25">
      <c r="B143" s="140">
        <v>45636</v>
      </c>
      <c r="C143" s="127" t="str">
        <f>IF(Egresos!$B143="","",TEXT(Egresos!$B143,"MMMM" ))</f>
        <v>diciembre</v>
      </c>
      <c r="D143" s="16" t="s">
        <v>113</v>
      </c>
      <c r="E143" s="17" t="s">
        <v>267</v>
      </c>
      <c r="F143" s="16" t="s">
        <v>13</v>
      </c>
      <c r="G143" s="35">
        <f>TablaEgreso[[#This Row],[Egreso Total]]-TablaEgreso[[#This Row],[Total Crédito Fiscal]]</f>
        <v>15483.1</v>
      </c>
      <c r="H143" s="16"/>
      <c r="I143" s="31">
        <f>IF(TablaEgreso[[#This Row],[Crédito Fiscal]]="Si",Configuración!$B$26,0)</f>
        <v>0</v>
      </c>
      <c r="J143" s="32">
        <f>TablaEgreso[[#This Row],[Egreso Total]]*TablaEgreso[[#This Row],[% de Crédito Fiscal]]</f>
        <v>0</v>
      </c>
      <c r="K143" s="146">
        <v>15483.1</v>
      </c>
    </row>
    <row r="144" spans="2:11" ht="20.100000000000001" customHeight="1" x14ac:dyDescent="0.25">
      <c r="B144" s="140">
        <v>45635</v>
      </c>
      <c r="C144" s="127" t="str">
        <f>IF(Egresos!$B126="","",TEXT(Egresos!$B126,"MMMM" ))</f>
        <v>diciembre</v>
      </c>
      <c r="D144" s="16" t="s">
        <v>113</v>
      </c>
      <c r="E144" s="17" t="s">
        <v>251</v>
      </c>
      <c r="F144" s="16" t="s">
        <v>119</v>
      </c>
      <c r="G144" s="35">
        <f>TablaEgreso[[#This Row],[Egreso Total]]-TablaEgreso[[#This Row],[Total Crédito Fiscal]]</f>
        <v>119500</v>
      </c>
      <c r="H144" s="16"/>
      <c r="I144" s="31">
        <f>IF(TablaEgreso[[#This Row],[Crédito Fiscal]]="Si",Configuración!$B$26,0)</f>
        <v>0</v>
      </c>
      <c r="J144" s="32">
        <f>TablaEgreso[[#This Row],[Egreso Total]]*TablaEgreso[[#This Row],[% de Crédito Fiscal]]</f>
        <v>0</v>
      </c>
      <c r="K144" s="146">
        <v>119500</v>
      </c>
    </row>
    <row r="145" spans="2:11" ht="20.100000000000001" customHeight="1" x14ac:dyDescent="0.25">
      <c r="B145" s="140">
        <v>45636</v>
      </c>
      <c r="C145" s="127" t="str">
        <f>IF(Egresos!$B145="","",TEXT(Egresos!$B145,"MMMM" ))</f>
        <v>diciembre</v>
      </c>
      <c r="D145" s="16" t="s">
        <v>115</v>
      </c>
      <c r="E145" s="17" t="s">
        <v>268</v>
      </c>
      <c r="F145" s="16" t="s">
        <v>13</v>
      </c>
      <c r="G145" s="35">
        <f>TablaEgreso[[#This Row],[Egreso Total]]-TablaEgreso[[#This Row],[Total Crédito Fiscal]]</f>
        <v>27253</v>
      </c>
      <c r="H145" s="16"/>
      <c r="I145" s="31">
        <f>IF(TablaEgreso[[#This Row],[Crédito Fiscal]]="Si",Configuración!$B$26,0)</f>
        <v>0</v>
      </c>
      <c r="J145" s="32">
        <f>TablaEgreso[[#This Row],[Egreso Total]]*TablaEgreso[[#This Row],[% de Crédito Fiscal]]</f>
        <v>0</v>
      </c>
      <c r="K145" s="146">
        <v>27253</v>
      </c>
    </row>
    <row r="146" spans="2:11" ht="20.100000000000001" customHeight="1" x14ac:dyDescent="0.25">
      <c r="B146" s="140">
        <v>45636</v>
      </c>
      <c r="C146" s="127" t="str">
        <f>IF(Egresos!$B146="","",TEXT(Egresos!$B146,"MMMM" ))</f>
        <v>diciembre</v>
      </c>
      <c r="D146" s="16" t="s">
        <v>146</v>
      </c>
      <c r="E146" s="17" t="s">
        <v>269</v>
      </c>
      <c r="F146" s="16" t="s">
        <v>13</v>
      </c>
      <c r="G146" s="35">
        <f>TablaEgreso[[#This Row],[Egreso Total]]-TablaEgreso[[#This Row],[Total Crédito Fiscal]]</f>
        <v>20800</v>
      </c>
      <c r="H146" s="16"/>
      <c r="I146" s="31">
        <f>IF(TablaEgreso[[#This Row],[Crédito Fiscal]]="Si",Configuración!$B$26,0)</f>
        <v>0</v>
      </c>
      <c r="J146" s="32">
        <f>TablaEgreso[[#This Row],[Egreso Total]]*TablaEgreso[[#This Row],[% de Crédito Fiscal]]</f>
        <v>0</v>
      </c>
      <c r="K146" s="146">
        <v>20800</v>
      </c>
    </row>
    <row r="147" spans="2:11" ht="20.100000000000001" customHeight="1" x14ac:dyDescent="0.25">
      <c r="B147" s="140">
        <v>45636</v>
      </c>
      <c r="C147" s="127" t="str">
        <f>IF(Egresos!$B147="","",TEXT(Egresos!$B147,"MMMM" ))</f>
        <v>diciembre</v>
      </c>
      <c r="D147" s="16" t="s">
        <v>146</v>
      </c>
      <c r="E147" s="17" t="s">
        <v>270</v>
      </c>
      <c r="F147" s="16" t="s">
        <v>13</v>
      </c>
      <c r="G147" s="35">
        <f>TablaEgreso[[#This Row],[Egreso Total]]-TablaEgreso[[#This Row],[Total Crédito Fiscal]]</f>
        <v>29900</v>
      </c>
      <c r="H147" s="16"/>
      <c r="I147" s="31">
        <f>IF(TablaEgreso[[#This Row],[Crédito Fiscal]]="Si",Configuración!$B$26,0)</f>
        <v>0</v>
      </c>
      <c r="J147" s="32">
        <f>TablaEgreso[[#This Row],[Egreso Total]]*TablaEgreso[[#This Row],[% de Crédito Fiscal]]</f>
        <v>0</v>
      </c>
      <c r="K147" s="146">
        <v>29900</v>
      </c>
    </row>
    <row r="148" spans="2:11" ht="20.100000000000001" customHeight="1" x14ac:dyDescent="0.25">
      <c r="B148" s="140">
        <v>45636</v>
      </c>
      <c r="C148" s="127" t="str">
        <f>IF(Egresos!$B148="","",TEXT(Egresos!$B148,"MMMM" ))</f>
        <v>diciembre</v>
      </c>
      <c r="D148" s="16" t="s">
        <v>146</v>
      </c>
      <c r="E148" s="17" t="s">
        <v>271</v>
      </c>
      <c r="F148" s="16" t="s">
        <v>13</v>
      </c>
      <c r="G148" s="35">
        <f>TablaEgreso[[#This Row],[Egreso Total]]-TablaEgreso[[#This Row],[Total Crédito Fiscal]]</f>
        <v>20520.2</v>
      </c>
      <c r="H148" s="16"/>
      <c r="I148" s="31">
        <f>IF(TablaEgreso[[#This Row],[Crédito Fiscal]]="Si",Configuración!$B$26,0)</f>
        <v>0</v>
      </c>
      <c r="J148" s="32">
        <f>TablaEgreso[[#This Row],[Egreso Total]]*TablaEgreso[[#This Row],[% de Crédito Fiscal]]</f>
        <v>0</v>
      </c>
      <c r="K148" s="146">
        <v>20520.2</v>
      </c>
    </row>
    <row r="149" spans="2:11" ht="20.100000000000001" customHeight="1" x14ac:dyDescent="0.25">
      <c r="B149" s="140">
        <v>45635</v>
      </c>
      <c r="C149" s="127" t="str">
        <f>IF(Egresos!$B149="","",TEXT(Egresos!$B149,"MMMM" ))</f>
        <v>diciembre</v>
      </c>
      <c r="D149" s="16" t="s">
        <v>113</v>
      </c>
      <c r="E149" s="17" t="s">
        <v>272</v>
      </c>
      <c r="F149" s="16" t="s">
        <v>13</v>
      </c>
      <c r="G149" s="35">
        <f>TablaEgreso[[#This Row],[Egreso Total]]-TablaEgreso[[#This Row],[Total Crédito Fiscal]]</f>
        <v>79054.149999999994</v>
      </c>
      <c r="H149" s="16"/>
      <c r="I149" s="31">
        <f>IF(TablaEgreso[[#This Row],[Crédito Fiscal]]="Si",Configuración!$B$26,0)</f>
        <v>0</v>
      </c>
      <c r="J149" s="32">
        <f>TablaEgreso[[#This Row],[Egreso Total]]*TablaEgreso[[#This Row],[% de Crédito Fiscal]]</f>
        <v>0</v>
      </c>
      <c r="K149" s="146">
        <v>79054.149999999994</v>
      </c>
    </row>
    <row r="150" spans="2:11" ht="20.100000000000001" customHeight="1" x14ac:dyDescent="0.25">
      <c r="B150" s="140">
        <v>45635</v>
      </c>
      <c r="C150" s="127" t="str">
        <f>IF(Egresos!$B150="","",TEXT(Egresos!$B150,"MMMM" ))</f>
        <v>diciembre</v>
      </c>
      <c r="D150" s="16" t="s">
        <v>113</v>
      </c>
      <c r="E150" s="17" t="s">
        <v>273</v>
      </c>
      <c r="F150" s="16" t="s">
        <v>13</v>
      </c>
      <c r="G150" s="35">
        <f>TablaEgreso[[#This Row],[Egreso Total]]-TablaEgreso[[#This Row],[Total Crédito Fiscal]]</f>
        <v>259212.19</v>
      </c>
      <c r="H150" s="16"/>
      <c r="I150" s="31">
        <f>IF(TablaEgreso[[#This Row],[Crédito Fiscal]]="Si",Configuración!$B$26,0)</f>
        <v>0</v>
      </c>
      <c r="J150" s="32">
        <f>TablaEgreso[[#This Row],[Egreso Total]]*TablaEgreso[[#This Row],[% de Crédito Fiscal]]</f>
        <v>0</v>
      </c>
      <c r="K150" s="146">
        <v>259212.19</v>
      </c>
    </row>
    <row r="151" spans="2:11" ht="20.100000000000001" customHeight="1" x14ac:dyDescent="0.25">
      <c r="B151" s="140">
        <v>45635</v>
      </c>
      <c r="C151" s="127" t="str">
        <f>IF(Egresos!$B151="","",TEXT(Egresos!$B151,"MMMM" ))</f>
        <v>diciembre</v>
      </c>
      <c r="D151" s="16" t="s">
        <v>113</v>
      </c>
      <c r="E151" s="17" t="s">
        <v>273</v>
      </c>
      <c r="F151" s="16" t="s">
        <v>122</v>
      </c>
      <c r="G151" s="35">
        <f>TablaEgreso[[#This Row],[Egreso Total]]-TablaEgreso[[#This Row],[Total Crédito Fiscal]]</f>
        <v>286973</v>
      </c>
      <c r="H151" s="16"/>
      <c r="I151" s="31">
        <f>IF(TablaEgreso[[#This Row],[Crédito Fiscal]]="Si",Configuración!$B$26,0)</f>
        <v>0</v>
      </c>
      <c r="J151" s="32">
        <f>TablaEgreso[[#This Row],[Egreso Total]]*TablaEgreso[[#This Row],[% de Crédito Fiscal]]</f>
        <v>0</v>
      </c>
      <c r="K151" s="146">
        <v>286973</v>
      </c>
    </row>
    <row r="152" spans="2:11" ht="20.100000000000001" customHeight="1" x14ac:dyDescent="0.25">
      <c r="B152" s="140">
        <v>45635</v>
      </c>
      <c r="C152" s="127" t="str">
        <f>IF(Egresos!$B152="","",TEXT(Egresos!$B152,"MMMM" ))</f>
        <v>diciembre</v>
      </c>
      <c r="D152" s="16" t="s">
        <v>101</v>
      </c>
      <c r="E152" s="17" t="s">
        <v>274</v>
      </c>
      <c r="F152" s="16" t="s">
        <v>121</v>
      </c>
      <c r="G152" s="35">
        <f>TablaEgreso[[#This Row],[Egreso Total]]-TablaEgreso[[#This Row],[Total Crédito Fiscal]]</f>
        <v>0</v>
      </c>
      <c r="H152" s="16"/>
      <c r="I152" s="31">
        <f>IF(TablaEgreso[[#This Row],[Crédito Fiscal]]="Si",Configuración!$B$26,0)</f>
        <v>0</v>
      </c>
      <c r="J152" s="32">
        <f>TablaEgreso[[#This Row],[Egreso Total]]*TablaEgreso[[#This Row],[% de Crédito Fiscal]]</f>
        <v>0</v>
      </c>
      <c r="K152" s="146">
        <v>0</v>
      </c>
    </row>
    <row r="153" spans="2:11" ht="20.100000000000001" customHeight="1" x14ac:dyDescent="0.25">
      <c r="B153" s="140">
        <v>45636</v>
      </c>
      <c r="C153" s="127" t="str">
        <f>IF(Egresos!$B153="","",TEXT(Egresos!$B153,"MMMM" ))</f>
        <v>diciembre</v>
      </c>
      <c r="D153" s="16" t="s">
        <v>109</v>
      </c>
      <c r="E153" s="17" t="s">
        <v>275</v>
      </c>
      <c r="F153" s="16" t="s">
        <v>118</v>
      </c>
      <c r="G153" s="35">
        <f>TablaEgreso[[#This Row],[Egreso Total]]-TablaEgreso[[#This Row],[Total Crédito Fiscal]]</f>
        <v>9000</v>
      </c>
      <c r="H153" s="16"/>
      <c r="I153" s="31">
        <f>IF(TablaEgreso[[#This Row],[Crédito Fiscal]]="Si",Configuración!$B$26,0)</f>
        <v>0</v>
      </c>
      <c r="J153" s="32">
        <f>TablaEgreso[[#This Row],[Egreso Total]]*TablaEgreso[[#This Row],[% de Crédito Fiscal]]</f>
        <v>0</v>
      </c>
      <c r="K153" s="146">
        <v>9000</v>
      </c>
    </row>
    <row r="154" spans="2:11" ht="20.100000000000001" customHeight="1" x14ac:dyDescent="0.25">
      <c r="B154" s="140">
        <v>45636</v>
      </c>
      <c r="C154" s="127" t="str">
        <f>IF(Egresos!$B154="","",TEXT(Egresos!$B154,"MMMM" ))</f>
        <v>diciembre</v>
      </c>
      <c r="D154" s="16" t="s">
        <v>114</v>
      </c>
      <c r="E154" s="17" t="s">
        <v>276</v>
      </c>
      <c r="F154" s="16" t="s">
        <v>118</v>
      </c>
      <c r="G154" s="35">
        <f>TablaEgreso[[#This Row],[Egreso Total]]-TablaEgreso[[#This Row],[Total Crédito Fiscal]]</f>
        <v>0</v>
      </c>
      <c r="H154" s="16"/>
      <c r="I154" s="31">
        <f>IF(TablaEgreso[[#This Row],[Crédito Fiscal]]="Si",Configuración!$B$26,0)</f>
        <v>0</v>
      </c>
      <c r="J154" s="32">
        <f>TablaEgreso[[#This Row],[Egreso Total]]*TablaEgreso[[#This Row],[% de Crédito Fiscal]]</f>
        <v>0</v>
      </c>
      <c r="K154" s="146">
        <v>0</v>
      </c>
    </row>
    <row r="155" spans="2:11" ht="20.100000000000001" customHeight="1" x14ac:dyDescent="0.25">
      <c r="B155" s="140">
        <v>45633</v>
      </c>
      <c r="C155" s="127" t="str">
        <f>IF(Egresos!$B77="","",TEXT(Egresos!$B77,"MMMM" ))</f>
        <v>diciembre</v>
      </c>
      <c r="D155" s="16" t="s">
        <v>113</v>
      </c>
      <c r="E155" s="17" t="s">
        <v>213</v>
      </c>
      <c r="F155" s="16" t="s">
        <v>119</v>
      </c>
      <c r="G155" s="35">
        <f>TablaEgreso[[#This Row],[Egreso Total]]-TablaEgreso[[#This Row],[Total Crédito Fiscal]]</f>
        <v>40800</v>
      </c>
      <c r="H155" s="16"/>
      <c r="I155" s="31">
        <f>IF(TablaEgreso[[#This Row],[Crédito Fiscal]]="Si",Configuración!$B$26,0)</f>
        <v>0</v>
      </c>
      <c r="J155" s="32">
        <f>TablaEgreso[[#This Row],[Egreso Total]]*TablaEgreso[[#This Row],[% de Crédito Fiscal]]</f>
        <v>0</v>
      </c>
      <c r="K155" s="146">
        <v>40800</v>
      </c>
    </row>
    <row r="156" spans="2:11" ht="20.100000000000001" customHeight="1" x14ac:dyDescent="0.25">
      <c r="B156" s="140">
        <v>45636</v>
      </c>
      <c r="C156" s="127" t="str">
        <f>IF(Egresos!$B156="","",TEXT(Egresos!$B156,"MMMM" ))</f>
        <v>diciembre</v>
      </c>
      <c r="D156" s="16" t="s">
        <v>113</v>
      </c>
      <c r="E156" s="17" t="s">
        <v>277</v>
      </c>
      <c r="F156" s="16" t="s">
        <v>119</v>
      </c>
      <c r="G156" s="35">
        <f>TablaEgreso[[#This Row],[Egreso Total]]-TablaEgreso[[#This Row],[Total Crédito Fiscal]]</f>
        <v>5000</v>
      </c>
      <c r="H156" s="16"/>
      <c r="I156" s="31">
        <f>IF(TablaEgreso[[#This Row],[Crédito Fiscal]]="Si",Configuración!$B$26,0)</f>
        <v>0</v>
      </c>
      <c r="J156" s="32">
        <f>TablaEgreso[[#This Row],[Egreso Total]]*TablaEgreso[[#This Row],[% de Crédito Fiscal]]</f>
        <v>0</v>
      </c>
      <c r="K156" s="146">
        <v>5000</v>
      </c>
    </row>
    <row r="157" spans="2:11" ht="20.100000000000001" customHeight="1" x14ac:dyDescent="0.25">
      <c r="B157" s="140">
        <v>45640</v>
      </c>
      <c r="C157" s="127" t="str">
        <f>IF(Egresos!$B270="","",TEXT(Egresos!$B270,"MMMM" ))</f>
        <v>diciembre</v>
      </c>
      <c r="D157" s="16" t="s">
        <v>113</v>
      </c>
      <c r="E157" s="17" t="s">
        <v>277</v>
      </c>
      <c r="F157" s="16" t="s">
        <v>119</v>
      </c>
      <c r="G157" s="35">
        <f>TablaEgreso[[#This Row],[Egreso Total]]-TablaEgreso[[#This Row],[Total Crédito Fiscal]]</f>
        <v>29600</v>
      </c>
      <c r="H157" s="16"/>
      <c r="I157" s="31">
        <f>IF(TablaEgreso[[#This Row],[Crédito Fiscal]]="Si",Configuración!$B$26,0)</f>
        <v>0</v>
      </c>
      <c r="J157" s="32">
        <f>TablaEgreso[[#This Row],[Egreso Total]]*TablaEgreso[[#This Row],[% de Crédito Fiscal]]</f>
        <v>0</v>
      </c>
      <c r="K157" s="146">
        <v>29600</v>
      </c>
    </row>
    <row r="158" spans="2:11" ht="20.100000000000001" customHeight="1" x14ac:dyDescent="0.25">
      <c r="B158" s="140">
        <v>45642</v>
      </c>
      <c r="C158" s="127" t="str">
        <f>IF(Egresos!$B290="","",TEXT(Egresos!$B290,"MMMM" ))</f>
        <v>diciembre</v>
      </c>
      <c r="D158" s="16" t="s">
        <v>113</v>
      </c>
      <c r="E158" s="17" t="s">
        <v>277</v>
      </c>
      <c r="F158" s="16" t="s">
        <v>119</v>
      </c>
      <c r="G158" s="35">
        <f>TablaEgreso[[#This Row],[Egreso Total]]-TablaEgreso[[#This Row],[Total Crédito Fiscal]]</f>
        <v>2000</v>
      </c>
      <c r="H158" s="16"/>
      <c r="I158" s="31">
        <f>IF(TablaEgreso[[#This Row],[Crédito Fiscal]]="Si",Configuración!$B$26,0)</f>
        <v>0</v>
      </c>
      <c r="J158" s="32">
        <f>TablaEgreso[[#This Row],[Egreso Total]]*TablaEgreso[[#This Row],[% de Crédito Fiscal]]</f>
        <v>0</v>
      </c>
      <c r="K158" s="146">
        <v>2000</v>
      </c>
    </row>
    <row r="159" spans="2:11" ht="20.100000000000001" customHeight="1" x14ac:dyDescent="0.25">
      <c r="B159" s="140">
        <v>45636</v>
      </c>
      <c r="C159" s="127" t="str">
        <f>IF(Egresos!$B159="","",TEXT(Egresos!$B159,"MMMM" ))</f>
        <v>diciembre</v>
      </c>
      <c r="D159" s="16" t="s">
        <v>114</v>
      </c>
      <c r="E159" s="17" t="s">
        <v>280</v>
      </c>
      <c r="F159" s="16" t="s">
        <v>120</v>
      </c>
      <c r="G159" s="35">
        <f>TablaEgreso[[#This Row],[Egreso Total]]-TablaEgreso[[#This Row],[Total Crédito Fiscal]]</f>
        <v>0</v>
      </c>
      <c r="H159" s="16"/>
      <c r="I159" s="31">
        <f>IF(TablaEgreso[[#This Row],[Crédito Fiscal]]="Si",Configuración!$B$26,0)</f>
        <v>0</v>
      </c>
      <c r="J159" s="32">
        <f>TablaEgreso[[#This Row],[Egreso Total]]*TablaEgreso[[#This Row],[% de Crédito Fiscal]]</f>
        <v>0</v>
      </c>
      <c r="K159" s="146">
        <v>0</v>
      </c>
    </row>
    <row r="160" spans="2:11" ht="20.100000000000001" customHeight="1" x14ac:dyDescent="0.25">
      <c r="B160" s="140">
        <v>45637</v>
      </c>
      <c r="C160" s="127" t="str">
        <f>IF(Egresos!$B160="","",TEXT(Egresos!$B160,"MMMM" ))</f>
        <v>diciembre</v>
      </c>
      <c r="D160" s="16" t="s">
        <v>109</v>
      </c>
      <c r="E160" s="17" t="s">
        <v>281</v>
      </c>
      <c r="F160" s="16" t="s">
        <v>13</v>
      </c>
      <c r="G160" s="35">
        <f>TablaEgreso[[#This Row],[Egreso Total]]-TablaEgreso[[#This Row],[Total Crédito Fiscal]]</f>
        <v>20136.16</v>
      </c>
      <c r="H160" s="16"/>
      <c r="I160" s="31">
        <f>IF(TablaEgreso[[#This Row],[Crédito Fiscal]]="Si",Configuración!$B$26,0)</f>
        <v>0</v>
      </c>
      <c r="J160" s="32">
        <f>TablaEgreso[[#This Row],[Egreso Total]]*TablaEgreso[[#This Row],[% de Crédito Fiscal]]</f>
        <v>0</v>
      </c>
      <c r="K160" s="146">
        <v>20136.16</v>
      </c>
    </row>
    <row r="161" spans="2:11" ht="20.100000000000001" customHeight="1" x14ac:dyDescent="0.25">
      <c r="B161" s="140">
        <v>45637</v>
      </c>
      <c r="C161" s="127" t="str">
        <f>IF(Egresos!$B161="","",TEXT(Egresos!$B161,"MMMM" ))</f>
        <v>diciembre</v>
      </c>
      <c r="D161" s="16" t="s">
        <v>109</v>
      </c>
      <c r="E161" s="17" t="s">
        <v>282</v>
      </c>
      <c r="F161" s="16" t="s">
        <v>13</v>
      </c>
      <c r="G161" s="35">
        <f>TablaEgreso[[#This Row],[Egreso Total]]-TablaEgreso[[#This Row],[Total Crédito Fiscal]]</f>
        <v>70423.45</v>
      </c>
      <c r="H161" s="16"/>
      <c r="I161" s="31">
        <f>IF(TablaEgreso[[#This Row],[Crédito Fiscal]]="Si",Configuración!$B$26,0)</f>
        <v>0</v>
      </c>
      <c r="J161" s="32">
        <f>TablaEgreso[[#This Row],[Egreso Total]]*TablaEgreso[[#This Row],[% de Crédito Fiscal]]</f>
        <v>0</v>
      </c>
      <c r="K161" s="146">
        <v>70423.45</v>
      </c>
    </row>
    <row r="162" spans="2:11" ht="20.100000000000001" customHeight="1" x14ac:dyDescent="0.25">
      <c r="B162" s="140">
        <v>45637</v>
      </c>
      <c r="C162" s="127" t="str">
        <f>IF(Egresos!$B162="","",TEXT(Egresos!$B162,"MMMM" ))</f>
        <v>diciembre</v>
      </c>
      <c r="D162" s="16" t="s">
        <v>148</v>
      </c>
      <c r="E162" s="17" t="s">
        <v>283</v>
      </c>
      <c r="F162" s="16" t="s">
        <v>13</v>
      </c>
      <c r="G162" s="35">
        <f>TablaEgreso[[#This Row],[Egreso Total]]-TablaEgreso[[#This Row],[Total Crédito Fiscal]]</f>
        <v>34446.71</v>
      </c>
      <c r="H162" s="16"/>
      <c r="I162" s="31">
        <f>IF(TablaEgreso[[#This Row],[Crédito Fiscal]]="Si",Configuración!$B$26,0)</f>
        <v>0</v>
      </c>
      <c r="J162" s="32">
        <f>TablaEgreso[[#This Row],[Egreso Total]]*TablaEgreso[[#This Row],[% de Crédito Fiscal]]</f>
        <v>0</v>
      </c>
      <c r="K162" s="146">
        <v>34446.71</v>
      </c>
    </row>
    <row r="163" spans="2:11" ht="20.100000000000001" customHeight="1" x14ac:dyDescent="0.25">
      <c r="B163" s="140">
        <v>45637</v>
      </c>
      <c r="C163" s="127" t="str">
        <f>IF(Egresos!$B163="","",TEXT(Egresos!$B163,"MMMM" ))</f>
        <v>diciembre</v>
      </c>
      <c r="D163" s="16" t="s">
        <v>148</v>
      </c>
      <c r="E163" s="17" t="s">
        <v>284</v>
      </c>
      <c r="F163" s="16" t="s">
        <v>13</v>
      </c>
      <c r="G163" s="35">
        <f>TablaEgreso[[#This Row],[Egreso Total]]-TablaEgreso[[#This Row],[Total Crédito Fiscal]]</f>
        <v>25710.6</v>
      </c>
      <c r="H163" s="16"/>
      <c r="I163" s="31">
        <f>IF(TablaEgreso[[#This Row],[Crédito Fiscal]]="Si",Configuración!$B$26,0)</f>
        <v>0</v>
      </c>
      <c r="J163" s="32">
        <f>TablaEgreso[[#This Row],[Egreso Total]]*TablaEgreso[[#This Row],[% de Crédito Fiscal]]</f>
        <v>0</v>
      </c>
      <c r="K163" s="146">
        <v>25710.6</v>
      </c>
    </row>
    <row r="164" spans="2:11" ht="20.100000000000001" customHeight="1" x14ac:dyDescent="0.25">
      <c r="B164" s="140">
        <v>45637</v>
      </c>
      <c r="C164" s="127" t="str">
        <f>IF(Egresos!$B164="","",TEXT(Egresos!$B164,"MMMM" ))</f>
        <v>diciembre</v>
      </c>
      <c r="D164" s="16" t="s">
        <v>148</v>
      </c>
      <c r="E164" s="17" t="s">
        <v>285</v>
      </c>
      <c r="F164" s="16" t="s">
        <v>13</v>
      </c>
      <c r="G164" s="35">
        <f>TablaEgreso[[#This Row],[Egreso Total]]-TablaEgreso[[#This Row],[Total Crédito Fiscal]]</f>
        <v>24435.93</v>
      </c>
      <c r="H164" s="16"/>
      <c r="I164" s="31">
        <f>IF(TablaEgreso[[#This Row],[Crédito Fiscal]]="Si",Configuración!$B$26,0)</f>
        <v>0</v>
      </c>
      <c r="J164" s="32">
        <f>TablaEgreso[[#This Row],[Egreso Total]]*TablaEgreso[[#This Row],[% de Crédito Fiscal]]</f>
        <v>0</v>
      </c>
      <c r="K164" s="146">
        <v>24435.93</v>
      </c>
    </row>
    <row r="165" spans="2:11" ht="20.100000000000001" customHeight="1" x14ac:dyDescent="0.25">
      <c r="B165" s="140">
        <v>45637</v>
      </c>
      <c r="C165" s="127" t="str">
        <f>IF(Egresos!$B165="","",TEXT(Egresos!$B165,"MMMM" ))</f>
        <v>diciembre</v>
      </c>
      <c r="D165" s="16" t="s">
        <v>148</v>
      </c>
      <c r="E165" s="17" t="s">
        <v>286</v>
      </c>
      <c r="F165" s="16" t="s">
        <v>13</v>
      </c>
      <c r="G165" s="35">
        <f>TablaEgreso[[#This Row],[Egreso Total]]-TablaEgreso[[#This Row],[Total Crédito Fiscal]]</f>
        <v>83239.14</v>
      </c>
      <c r="H165" s="16"/>
      <c r="I165" s="31">
        <f>IF(TablaEgreso[[#This Row],[Crédito Fiscal]]="Si",Configuración!$B$26,0)</f>
        <v>0</v>
      </c>
      <c r="J165" s="32">
        <f>TablaEgreso[[#This Row],[Egreso Total]]*TablaEgreso[[#This Row],[% de Crédito Fiscal]]</f>
        <v>0</v>
      </c>
      <c r="K165" s="146">
        <v>83239.14</v>
      </c>
    </row>
    <row r="166" spans="2:11" ht="20.100000000000001" customHeight="1" x14ac:dyDescent="0.25">
      <c r="B166" s="140">
        <v>45637</v>
      </c>
      <c r="C166" s="127" t="str">
        <f>IF(Egresos!$B166="","",TEXT(Egresos!$B166,"MMMM" ))</f>
        <v>diciembre</v>
      </c>
      <c r="D166" s="16" t="s">
        <v>148</v>
      </c>
      <c r="E166" s="17" t="s">
        <v>287</v>
      </c>
      <c r="F166" s="16" t="s">
        <v>13</v>
      </c>
      <c r="G166" s="35">
        <f>TablaEgreso[[#This Row],[Egreso Total]]-TablaEgreso[[#This Row],[Total Crédito Fiscal]]</f>
        <v>59920.160000000003</v>
      </c>
      <c r="H166" s="16"/>
      <c r="I166" s="31">
        <f>IF(TablaEgreso[[#This Row],[Crédito Fiscal]]="Si",Configuración!$B$26,0)</f>
        <v>0</v>
      </c>
      <c r="J166" s="32">
        <f>TablaEgreso[[#This Row],[Egreso Total]]*TablaEgreso[[#This Row],[% de Crédito Fiscal]]</f>
        <v>0</v>
      </c>
      <c r="K166" s="146">
        <v>59920.160000000003</v>
      </c>
    </row>
    <row r="167" spans="2:11" ht="20.100000000000001" customHeight="1" x14ac:dyDescent="0.25">
      <c r="B167" s="140">
        <v>45637</v>
      </c>
      <c r="C167" s="127" t="str">
        <f>IF(Egresos!$B167="","",TEXT(Egresos!$B167,"MMMM" ))</f>
        <v>diciembre</v>
      </c>
      <c r="D167" s="16" t="s">
        <v>148</v>
      </c>
      <c r="E167" s="17" t="s">
        <v>288</v>
      </c>
      <c r="F167" s="16" t="s">
        <v>13</v>
      </c>
      <c r="G167" s="35">
        <f>TablaEgreso[[#This Row],[Egreso Total]]-TablaEgreso[[#This Row],[Total Crédito Fiscal]]</f>
        <v>85232.71</v>
      </c>
      <c r="H167" s="16"/>
      <c r="I167" s="31">
        <f>IF(TablaEgreso[[#This Row],[Crédito Fiscal]]="Si",Configuración!$B$26,0)</f>
        <v>0</v>
      </c>
      <c r="J167" s="32">
        <f>TablaEgreso[[#This Row],[Egreso Total]]*TablaEgreso[[#This Row],[% de Crédito Fiscal]]</f>
        <v>0</v>
      </c>
      <c r="K167" s="146">
        <v>85232.71</v>
      </c>
    </row>
    <row r="168" spans="2:11" ht="20.100000000000001" customHeight="1" x14ac:dyDescent="0.25">
      <c r="B168" s="140">
        <v>45637</v>
      </c>
      <c r="C168" s="127" t="str">
        <f>IF(Egresos!$B168="","",TEXT(Egresos!$B168,"MMMM" ))</f>
        <v>diciembre</v>
      </c>
      <c r="D168" s="16" t="s">
        <v>148</v>
      </c>
      <c r="E168" s="17" t="s">
        <v>289</v>
      </c>
      <c r="F168" s="16" t="s">
        <v>13</v>
      </c>
      <c r="G168" s="35">
        <f>TablaEgreso[[#This Row],[Egreso Total]]-TablaEgreso[[#This Row],[Total Crédito Fiscal]]</f>
        <v>60461.11</v>
      </c>
      <c r="H168" s="16"/>
      <c r="I168" s="31">
        <f>IF(TablaEgreso[[#This Row],[Crédito Fiscal]]="Si",Configuración!$B$26,0)</f>
        <v>0</v>
      </c>
      <c r="J168" s="32">
        <f>TablaEgreso[[#This Row],[Egreso Total]]*TablaEgreso[[#This Row],[% de Crédito Fiscal]]</f>
        <v>0</v>
      </c>
      <c r="K168" s="146">
        <v>60461.11</v>
      </c>
    </row>
    <row r="169" spans="2:11" ht="20.100000000000001" customHeight="1" x14ac:dyDescent="0.25">
      <c r="B169" s="140">
        <v>45637</v>
      </c>
      <c r="C169" s="127" t="str">
        <f>IF(Egresos!$B169="","",TEXT(Egresos!$B169,"MMMM" ))</f>
        <v>diciembre</v>
      </c>
      <c r="D169" s="16" t="s">
        <v>146</v>
      </c>
      <c r="E169" s="17" t="s">
        <v>290</v>
      </c>
      <c r="F169" s="16" t="s">
        <v>13</v>
      </c>
      <c r="G169" s="35">
        <f>TablaEgreso[[#This Row],[Egreso Total]]-TablaEgreso[[#This Row],[Total Crédito Fiscal]]</f>
        <v>21051.55</v>
      </c>
      <c r="H169" s="16"/>
      <c r="I169" s="31">
        <f>IF(TablaEgreso[[#This Row],[Crédito Fiscal]]="Si",Configuración!$B$26,0)</f>
        <v>0</v>
      </c>
      <c r="J169" s="32">
        <f>TablaEgreso[[#This Row],[Egreso Total]]*TablaEgreso[[#This Row],[% de Crédito Fiscal]]</f>
        <v>0</v>
      </c>
      <c r="K169" s="146">
        <v>21051.55</v>
      </c>
    </row>
    <row r="170" spans="2:11" ht="20.100000000000001" customHeight="1" x14ac:dyDescent="0.25">
      <c r="B170" s="140">
        <v>45637</v>
      </c>
      <c r="C170" s="127" t="str">
        <f>IF(Egresos!$B170="","",TEXT(Egresos!$B170,"MMMM" ))</f>
        <v>diciembre</v>
      </c>
      <c r="D170" s="16" t="s">
        <v>146</v>
      </c>
      <c r="E170" s="17" t="s">
        <v>291</v>
      </c>
      <c r="F170" s="16" t="s">
        <v>13</v>
      </c>
      <c r="G170" s="35">
        <f>TablaEgreso[[#This Row],[Egreso Total]]-TablaEgreso[[#This Row],[Total Crédito Fiscal]]</f>
        <v>33100</v>
      </c>
      <c r="H170" s="16"/>
      <c r="I170" s="31">
        <f>IF(TablaEgreso[[#This Row],[Crédito Fiscal]]="Si",Configuración!$B$26,0)</f>
        <v>0</v>
      </c>
      <c r="J170" s="32">
        <f>TablaEgreso[[#This Row],[Egreso Total]]*TablaEgreso[[#This Row],[% de Crédito Fiscal]]</f>
        <v>0</v>
      </c>
      <c r="K170" s="146">
        <v>33100</v>
      </c>
    </row>
    <row r="171" spans="2:11" ht="20.100000000000001" customHeight="1" x14ac:dyDescent="0.25">
      <c r="B171" s="140">
        <v>45637</v>
      </c>
      <c r="C171" s="127" t="str">
        <f>IF(Egresos!$B171="","",TEXT(Egresos!$B171,"MMMM" ))</f>
        <v>diciembre</v>
      </c>
      <c r="D171" s="16" t="s">
        <v>115</v>
      </c>
      <c r="E171" s="17" t="s">
        <v>292</v>
      </c>
      <c r="F171" s="16" t="s">
        <v>13</v>
      </c>
      <c r="G171" s="35">
        <f>TablaEgreso[[#This Row],[Egreso Total]]-TablaEgreso[[#This Row],[Total Crédito Fiscal]]</f>
        <v>27253</v>
      </c>
      <c r="H171" s="16"/>
      <c r="I171" s="31">
        <f>IF(TablaEgreso[[#This Row],[Crédito Fiscal]]="Si",Configuración!$B$26,0)</f>
        <v>0</v>
      </c>
      <c r="J171" s="32">
        <f>TablaEgreso[[#This Row],[Egreso Total]]*TablaEgreso[[#This Row],[% de Crédito Fiscal]]</f>
        <v>0</v>
      </c>
      <c r="K171" s="146">
        <v>27253</v>
      </c>
    </row>
    <row r="172" spans="2:11" ht="20.100000000000001" customHeight="1" x14ac:dyDescent="0.25">
      <c r="B172" s="140">
        <v>45638</v>
      </c>
      <c r="C172" s="127" t="str">
        <f>IF(Egresos!$B227="","",TEXT(Egresos!$B227,"MMMM" ))</f>
        <v>diciembre</v>
      </c>
      <c r="D172" s="16" t="s">
        <v>108</v>
      </c>
      <c r="E172" s="17" t="s">
        <v>340</v>
      </c>
      <c r="F172" s="16" t="s">
        <v>13</v>
      </c>
      <c r="G172" s="35">
        <f>TablaEgreso[[#This Row],[Egreso Total]]-TablaEgreso[[#This Row],[Total Crédito Fiscal]]</f>
        <v>112512.86</v>
      </c>
      <c r="H172" s="16"/>
      <c r="I172" s="31">
        <f>IF(TablaEgreso[[#This Row],[Crédito Fiscal]]="Si",Configuración!$B$26,0)</f>
        <v>0</v>
      </c>
      <c r="J172" s="32">
        <f>TablaEgreso[[#This Row],[Egreso Total]]*TablaEgreso[[#This Row],[% de Crédito Fiscal]]</f>
        <v>0</v>
      </c>
      <c r="K172" s="146">
        <v>112512.86</v>
      </c>
    </row>
    <row r="173" spans="2:11" ht="20.100000000000001" customHeight="1" x14ac:dyDescent="0.25">
      <c r="B173" s="140">
        <v>45637</v>
      </c>
      <c r="C173" s="127" t="str">
        <f>IF(Egresos!$B173="","",TEXT(Egresos!$B173,"MMMM" ))</f>
        <v>diciembre</v>
      </c>
      <c r="D173" s="16" t="s">
        <v>116</v>
      </c>
      <c r="E173" s="17" t="s">
        <v>294</v>
      </c>
      <c r="F173" s="16" t="s">
        <v>13</v>
      </c>
      <c r="G173" s="35">
        <f>TablaEgreso[[#This Row],[Egreso Total]]-TablaEgreso[[#This Row],[Total Crédito Fiscal]]</f>
        <v>5000</v>
      </c>
      <c r="H173" s="16"/>
      <c r="I173" s="31">
        <f>IF(TablaEgreso[[#This Row],[Crédito Fiscal]]="Si",Configuración!$B$26,0)</f>
        <v>0</v>
      </c>
      <c r="J173" s="32">
        <f>TablaEgreso[[#This Row],[Egreso Total]]*TablaEgreso[[#This Row],[% de Crédito Fiscal]]</f>
        <v>0</v>
      </c>
      <c r="K173" s="146">
        <v>5000</v>
      </c>
    </row>
    <row r="174" spans="2:11" ht="20.100000000000001" customHeight="1" x14ac:dyDescent="0.25">
      <c r="B174" s="140">
        <v>45636</v>
      </c>
      <c r="C174" s="127" t="str">
        <f>IF(Egresos!$B174="","",TEXT(Egresos!$B174,"MMMM" ))</f>
        <v>diciembre</v>
      </c>
      <c r="D174" s="16" t="s">
        <v>143</v>
      </c>
      <c r="E174" s="17" t="s">
        <v>295</v>
      </c>
      <c r="F174" s="16" t="s">
        <v>13</v>
      </c>
      <c r="G174" s="35">
        <f>TablaEgreso[[#This Row],[Egreso Total]]-TablaEgreso[[#This Row],[Total Crédito Fiscal]]</f>
        <v>46325.49</v>
      </c>
      <c r="H174" s="16"/>
      <c r="I174" s="31">
        <f>IF(TablaEgreso[[#This Row],[Crédito Fiscal]]="Si",Configuración!$B$26,0)</f>
        <v>0</v>
      </c>
      <c r="J174" s="32">
        <f>TablaEgreso[[#This Row],[Egreso Total]]*TablaEgreso[[#This Row],[% de Crédito Fiscal]]</f>
        <v>0</v>
      </c>
      <c r="K174" s="146">
        <v>46325.49</v>
      </c>
    </row>
    <row r="175" spans="2:11" ht="20.100000000000001" customHeight="1" x14ac:dyDescent="0.25">
      <c r="B175" s="140">
        <v>45636</v>
      </c>
      <c r="C175" s="127" t="str">
        <f>IF(Egresos!$B175="","",TEXT(Egresos!$B175,"MMMM" ))</f>
        <v>diciembre</v>
      </c>
      <c r="D175" s="16" t="s">
        <v>143</v>
      </c>
      <c r="E175" s="17" t="s">
        <v>296</v>
      </c>
      <c r="F175" s="16" t="s">
        <v>13</v>
      </c>
      <c r="G175" s="35">
        <f>TablaEgreso[[#This Row],[Egreso Total]]-TablaEgreso[[#This Row],[Total Crédito Fiscal]]</f>
        <v>216759.02</v>
      </c>
      <c r="H175" s="16"/>
      <c r="I175" s="31">
        <f>IF(TablaEgreso[[#This Row],[Crédito Fiscal]]="Si",Configuración!$B$26,0)</f>
        <v>0</v>
      </c>
      <c r="J175" s="32">
        <f>TablaEgreso[[#This Row],[Egreso Total]]*TablaEgreso[[#This Row],[% de Crédito Fiscal]]</f>
        <v>0</v>
      </c>
      <c r="K175" s="146">
        <v>216759.02</v>
      </c>
    </row>
    <row r="176" spans="2:11" ht="20.100000000000001" customHeight="1" x14ac:dyDescent="0.25">
      <c r="B176" s="140">
        <v>45636</v>
      </c>
      <c r="C176" s="127" t="str">
        <f>IF(Egresos!$B176="","",TEXT(Egresos!$B176,"MMMM" ))</f>
        <v>diciembre</v>
      </c>
      <c r="D176" s="16" t="s">
        <v>137</v>
      </c>
      <c r="E176" s="17" t="s">
        <v>297</v>
      </c>
      <c r="F176" s="16" t="s">
        <v>13</v>
      </c>
      <c r="G176" s="35">
        <f>TablaEgreso[[#This Row],[Egreso Total]]-TablaEgreso[[#This Row],[Total Crédito Fiscal]]</f>
        <v>46666.665999999997</v>
      </c>
      <c r="H176" s="16"/>
      <c r="I176" s="31">
        <f>IF(TablaEgreso[[#This Row],[Crédito Fiscal]]="Si",Configuración!$B$26,0)</f>
        <v>0</v>
      </c>
      <c r="J176" s="32">
        <f>TablaEgreso[[#This Row],[Egreso Total]]*TablaEgreso[[#This Row],[% de Crédito Fiscal]]</f>
        <v>0</v>
      </c>
      <c r="K176" s="146">
        <v>46666.665999999997</v>
      </c>
    </row>
    <row r="177" spans="2:11" ht="20.100000000000001" customHeight="1" x14ac:dyDescent="0.25">
      <c r="B177" s="140">
        <v>45636</v>
      </c>
      <c r="C177" s="127" t="str">
        <f>IF(Egresos!$B177="","",TEXT(Egresos!$B177,"MMMM" ))</f>
        <v>diciembre</v>
      </c>
      <c r="D177" s="16" t="s">
        <v>137</v>
      </c>
      <c r="E177" s="17" t="s">
        <v>298</v>
      </c>
      <c r="F177" s="16" t="s">
        <v>13</v>
      </c>
      <c r="G177" s="35">
        <f>TablaEgreso[[#This Row],[Egreso Total]]-TablaEgreso[[#This Row],[Total Crédito Fiscal]]</f>
        <v>46666.665999999997</v>
      </c>
      <c r="H177" s="16"/>
      <c r="I177" s="31">
        <f>IF(TablaEgreso[[#This Row],[Crédito Fiscal]]="Si",Configuración!$B$26,0)</f>
        <v>0</v>
      </c>
      <c r="J177" s="32">
        <f>TablaEgreso[[#This Row],[Egreso Total]]*TablaEgreso[[#This Row],[% de Crédito Fiscal]]</f>
        <v>0</v>
      </c>
      <c r="K177" s="146">
        <v>46666.665999999997</v>
      </c>
    </row>
    <row r="178" spans="2:11" ht="20.100000000000001" customHeight="1" x14ac:dyDescent="0.25">
      <c r="B178" s="140">
        <v>45636</v>
      </c>
      <c r="C178" s="127" t="str">
        <f>IF(Egresos!$B178="","",TEXT(Egresos!$B178,"MMMM" ))</f>
        <v>diciembre</v>
      </c>
      <c r="D178" s="16" t="s">
        <v>137</v>
      </c>
      <c r="E178" s="17" t="s">
        <v>299</v>
      </c>
      <c r="F178" s="16" t="s">
        <v>13</v>
      </c>
      <c r="G178" s="35">
        <f>TablaEgreso[[#This Row],[Egreso Total]]-TablaEgreso[[#This Row],[Total Crédito Fiscal]]</f>
        <v>46666.665999999997</v>
      </c>
      <c r="H178" s="16"/>
      <c r="I178" s="31">
        <f>IF(TablaEgreso[[#This Row],[Crédito Fiscal]]="Si",Configuración!$B$26,0)</f>
        <v>0</v>
      </c>
      <c r="J178" s="32">
        <f>TablaEgreso[[#This Row],[Egreso Total]]*TablaEgreso[[#This Row],[% de Crédito Fiscal]]</f>
        <v>0</v>
      </c>
      <c r="K178" s="146">
        <v>46666.665999999997</v>
      </c>
    </row>
    <row r="179" spans="2:11" ht="20.100000000000001" customHeight="1" x14ac:dyDescent="0.25">
      <c r="B179" s="140">
        <v>45636</v>
      </c>
      <c r="C179" s="127" t="str">
        <f>IF(Egresos!$B179="","",TEXT(Egresos!$B179,"MMMM" ))</f>
        <v>diciembre</v>
      </c>
      <c r="D179" s="16" t="s">
        <v>137</v>
      </c>
      <c r="E179" s="17" t="s">
        <v>300</v>
      </c>
      <c r="F179" s="16" t="s">
        <v>13</v>
      </c>
      <c r="G179" s="35">
        <f>TablaEgreso[[#This Row],[Egreso Total]]-TablaEgreso[[#This Row],[Total Crédito Fiscal]]</f>
        <v>46666.665999999997</v>
      </c>
      <c r="H179" s="16"/>
      <c r="I179" s="31">
        <f>IF(TablaEgreso[[#This Row],[Crédito Fiscal]]="Si",Configuración!$B$26,0)</f>
        <v>0</v>
      </c>
      <c r="J179" s="32">
        <f>TablaEgreso[[#This Row],[Egreso Total]]*TablaEgreso[[#This Row],[% de Crédito Fiscal]]</f>
        <v>0</v>
      </c>
      <c r="K179" s="146">
        <v>46666.665999999997</v>
      </c>
    </row>
    <row r="180" spans="2:11" ht="20.100000000000001" customHeight="1" x14ac:dyDescent="0.25">
      <c r="B180" s="140">
        <v>45636</v>
      </c>
      <c r="C180" s="127" t="str">
        <f>IF(Egresos!$B180="","",TEXT(Egresos!$B180,"MMMM" ))</f>
        <v>diciembre</v>
      </c>
      <c r="D180" s="16" t="s">
        <v>137</v>
      </c>
      <c r="E180" s="17" t="s">
        <v>301</v>
      </c>
      <c r="F180" s="16" t="s">
        <v>13</v>
      </c>
      <c r="G180" s="35">
        <f>TablaEgreso[[#This Row],[Egreso Total]]-TablaEgreso[[#This Row],[Total Crédito Fiscal]]</f>
        <v>46666.665999999997</v>
      </c>
      <c r="H180" s="16"/>
      <c r="I180" s="31">
        <f>IF(TablaEgreso[[#This Row],[Crédito Fiscal]]="Si",Configuración!$B$26,0)</f>
        <v>0</v>
      </c>
      <c r="J180" s="32">
        <f>TablaEgreso[[#This Row],[Egreso Total]]*TablaEgreso[[#This Row],[% de Crédito Fiscal]]</f>
        <v>0</v>
      </c>
      <c r="K180" s="146">
        <v>46666.665999999997</v>
      </c>
    </row>
    <row r="181" spans="2:11" ht="20.100000000000001" customHeight="1" x14ac:dyDescent="0.25">
      <c r="B181" s="140">
        <v>45636</v>
      </c>
      <c r="C181" s="127" t="str">
        <f>IF(Egresos!$B181="","",TEXT(Egresos!$B181,"MMMM" ))</f>
        <v>diciembre</v>
      </c>
      <c r="D181" s="16" t="s">
        <v>137</v>
      </c>
      <c r="E181" s="17" t="s">
        <v>302</v>
      </c>
      <c r="F181" s="16" t="s">
        <v>13</v>
      </c>
      <c r="G181" s="35">
        <f>TablaEgreso[[#This Row],[Egreso Total]]-TablaEgreso[[#This Row],[Total Crédito Fiscal]]</f>
        <v>46666.665999999997</v>
      </c>
      <c r="H181" s="16"/>
      <c r="I181" s="31">
        <f>IF(TablaEgreso[[#This Row],[Crédito Fiscal]]="Si",Configuración!$B$26,0)</f>
        <v>0</v>
      </c>
      <c r="J181" s="32">
        <f>TablaEgreso[[#This Row],[Egreso Total]]*TablaEgreso[[#This Row],[% de Crédito Fiscal]]</f>
        <v>0</v>
      </c>
      <c r="K181" s="146">
        <v>46666.665999999997</v>
      </c>
    </row>
    <row r="182" spans="2:11" ht="20.100000000000001" customHeight="1" x14ac:dyDescent="0.25">
      <c r="B182" s="140">
        <v>45636</v>
      </c>
      <c r="C182" s="127" t="str">
        <f>IF(Egresos!$B144="","",TEXT(Egresos!$B144,"MMMM" ))</f>
        <v>diciembre</v>
      </c>
      <c r="D182" s="16" t="s">
        <v>113</v>
      </c>
      <c r="E182" s="17" t="s">
        <v>348</v>
      </c>
      <c r="F182" s="16" t="s">
        <v>13</v>
      </c>
      <c r="G182" s="35">
        <f>TablaEgreso[[#This Row],[Egreso Total]]-TablaEgreso[[#This Row],[Total Crédito Fiscal]]</f>
        <v>48810</v>
      </c>
      <c r="H182" s="16"/>
      <c r="I182" s="31">
        <f>IF(TablaEgreso[[#This Row],[Crédito Fiscal]]="Si",Configuración!$B$26,0)</f>
        <v>0</v>
      </c>
      <c r="J182" s="32">
        <f>TablaEgreso[[#This Row],[Egreso Total]]*TablaEgreso[[#This Row],[% de Crédito Fiscal]]</f>
        <v>0</v>
      </c>
      <c r="K182" s="146">
        <v>48810</v>
      </c>
    </row>
    <row r="183" spans="2:11" ht="20.100000000000001" customHeight="1" x14ac:dyDescent="0.25">
      <c r="B183" s="140">
        <v>45637</v>
      </c>
      <c r="C183" s="127" t="str">
        <f>IF(Egresos!$B183="","",TEXT(Egresos!$B183,"MMMM" ))</f>
        <v>diciembre</v>
      </c>
      <c r="D183" s="16" t="s">
        <v>110</v>
      </c>
      <c r="E183" s="17" t="s">
        <v>304</v>
      </c>
      <c r="F183" s="16" t="s">
        <v>13</v>
      </c>
      <c r="G183" s="35">
        <f>TablaEgreso[[#This Row],[Egreso Total]]-TablaEgreso[[#This Row],[Total Crédito Fiscal]]</f>
        <v>72576</v>
      </c>
      <c r="H183" s="16"/>
      <c r="I183" s="31">
        <f>IF(TablaEgreso[[#This Row],[Crédito Fiscal]]="Si",Configuración!$B$26,0)</f>
        <v>0</v>
      </c>
      <c r="J183" s="32">
        <f>TablaEgreso[[#This Row],[Egreso Total]]*TablaEgreso[[#This Row],[% de Crédito Fiscal]]</f>
        <v>0</v>
      </c>
      <c r="K183" s="146">
        <v>72576</v>
      </c>
    </row>
    <row r="184" spans="2:11" ht="20.100000000000001" customHeight="1" x14ac:dyDescent="0.25">
      <c r="B184" s="140">
        <v>45637</v>
      </c>
      <c r="C184" s="127" t="str">
        <f>IF(Egresos!$B184="","",TEXT(Egresos!$B184,"MMMM" ))</f>
        <v>diciembre</v>
      </c>
      <c r="D184" s="16" t="s">
        <v>110</v>
      </c>
      <c r="E184" s="17" t="s">
        <v>305</v>
      </c>
      <c r="F184" s="16" t="s">
        <v>13</v>
      </c>
      <c r="G184" s="35">
        <f>TablaEgreso[[#This Row],[Egreso Total]]-TablaEgreso[[#This Row],[Total Crédito Fiscal]]</f>
        <v>92793.96</v>
      </c>
      <c r="H184" s="16"/>
      <c r="I184" s="31">
        <f>IF(TablaEgreso[[#This Row],[Crédito Fiscal]]="Si",Configuración!$B$26,0)</f>
        <v>0</v>
      </c>
      <c r="J184" s="32">
        <f>TablaEgreso[[#This Row],[Egreso Total]]*TablaEgreso[[#This Row],[% de Crédito Fiscal]]</f>
        <v>0</v>
      </c>
      <c r="K184" s="146">
        <v>92793.96</v>
      </c>
    </row>
    <row r="185" spans="2:11" ht="20.100000000000001" customHeight="1" x14ac:dyDescent="0.25">
      <c r="B185" s="140">
        <v>45637</v>
      </c>
      <c r="C185" s="127" t="str">
        <f>IF(Egresos!$B185="","",TEXT(Egresos!$B185,"MMMM" ))</f>
        <v>diciembre</v>
      </c>
      <c r="D185" s="16" t="s">
        <v>110</v>
      </c>
      <c r="E185" s="17" t="s">
        <v>306</v>
      </c>
      <c r="F185" s="16" t="s">
        <v>13</v>
      </c>
      <c r="G185" s="35">
        <f>TablaEgreso[[#This Row],[Egreso Total]]-TablaEgreso[[#This Row],[Total Crédito Fiscal]]</f>
        <v>100896.69</v>
      </c>
      <c r="H185" s="16"/>
      <c r="I185" s="31">
        <f>IF(TablaEgreso[[#This Row],[Crédito Fiscal]]="Si",Configuración!$B$26,0)</f>
        <v>0</v>
      </c>
      <c r="J185" s="32">
        <f>TablaEgreso[[#This Row],[Egreso Total]]*TablaEgreso[[#This Row],[% de Crédito Fiscal]]</f>
        <v>0</v>
      </c>
      <c r="K185" s="146">
        <v>100896.69</v>
      </c>
    </row>
    <row r="186" spans="2:11" ht="20.100000000000001" customHeight="1" x14ac:dyDescent="0.25">
      <c r="B186" s="140">
        <v>45637</v>
      </c>
      <c r="C186" s="127" t="str">
        <f>IF(Egresos!$B186="","",TEXT(Egresos!$B186,"MMMM" ))</f>
        <v>diciembre</v>
      </c>
      <c r="D186" s="16" t="s">
        <v>113</v>
      </c>
      <c r="E186" s="17" t="s">
        <v>307</v>
      </c>
      <c r="F186" s="16" t="s">
        <v>121</v>
      </c>
      <c r="G186" s="35">
        <f>TablaEgreso[[#This Row],[Egreso Total]]-TablaEgreso[[#This Row],[Total Crédito Fiscal]]</f>
        <v>0</v>
      </c>
      <c r="H186" s="16"/>
      <c r="I186" s="31">
        <f>IF(TablaEgreso[[#This Row],[Crédito Fiscal]]="Si",Configuración!$B$26,0)</f>
        <v>0</v>
      </c>
      <c r="J186" s="32">
        <f>TablaEgreso[[#This Row],[Egreso Total]]*TablaEgreso[[#This Row],[% de Crédito Fiscal]]</f>
        <v>0</v>
      </c>
      <c r="K186" s="146">
        <v>0</v>
      </c>
    </row>
    <row r="187" spans="2:11" ht="20.100000000000001" customHeight="1" x14ac:dyDescent="0.25">
      <c r="B187" s="140">
        <v>45637</v>
      </c>
      <c r="C187" s="127" t="str">
        <f>IF(Egresos!$B187="","",TEXT(Egresos!$B187,"MMMM" ))</f>
        <v>diciembre</v>
      </c>
      <c r="D187" s="16" t="s">
        <v>113</v>
      </c>
      <c r="E187" s="17" t="s">
        <v>308</v>
      </c>
      <c r="F187" s="16" t="s">
        <v>121</v>
      </c>
      <c r="G187" s="35">
        <f>TablaEgreso[[#This Row],[Egreso Total]]-TablaEgreso[[#This Row],[Total Crédito Fiscal]]</f>
        <v>0</v>
      </c>
      <c r="H187" s="16"/>
      <c r="I187" s="31">
        <f>IF(TablaEgreso[[#This Row],[Crédito Fiscal]]="Si",Configuración!$B$26,0)</f>
        <v>0</v>
      </c>
      <c r="J187" s="32">
        <f>TablaEgreso[[#This Row],[Egreso Total]]*TablaEgreso[[#This Row],[% de Crédito Fiscal]]</f>
        <v>0</v>
      </c>
      <c r="K187" s="146">
        <v>0</v>
      </c>
    </row>
    <row r="188" spans="2:11" ht="20.100000000000001" customHeight="1" x14ac:dyDescent="0.25">
      <c r="B188" s="140">
        <v>45637</v>
      </c>
      <c r="C188" s="127" t="str">
        <f>IF(Egresos!$B188="","",TEXT(Egresos!$B188,"MMMM" ))</f>
        <v>diciembre</v>
      </c>
      <c r="D188" s="16" t="s">
        <v>111</v>
      </c>
      <c r="E188" s="17" t="s">
        <v>309</v>
      </c>
      <c r="F188" s="16" t="s">
        <v>13</v>
      </c>
      <c r="G188" s="35">
        <f>TablaEgreso[[#This Row],[Egreso Total]]-TablaEgreso[[#This Row],[Total Crédito Fiscal]]</f>
        <v>524200</v>
      </c>
      <c r="H188" s="16"/>
      <c r="I188" s="31">
        <f>IF(TablaEgreso[[#This Row],[Crédito Fiscal]]="Si",Configuración!$B$26,0)</f>
        <v>0</v>
      </c>
      <c r="J188" s="32">
        <f>TablaEgreso[[#This Row],[Egreso Total]]*TablaEgreso[[#This Row],[% de Crédito Fiscal]]</f>
        <v>0</v>
      </c>
      <c r="K188" s="146">
        <v>524200</v>
      </c>
    </row>
    <row r="189" spans="2:11" ht="20.100000000000001" customHeight="1" x14ac:dyDescent="0.25">
      <c r="B189" s="140">
        <v>45637</v>
      </c>
      <c r="C189" s="127" t="str">
        <f>IF(Egresos!$B189="","",TEXT(Egresos!$B189,"MMMM" ))</f>
        <v>diciembre</v>
      </c>
      <c r="D189" s="16" t="s">
        <v>146</v>
      </c>
      <c r="E189" s="17" t="s">
        <v>200</v>
      </c>
      <c r="F189" s="16" t="s">
        <v>13</v>
      </c>
      <c r="G189" s="35">
        <f>TablaEgreso[[#This Row],[Egreso Total]]-TablaEgreso[[#This Row],[Total Crédito Fiscal]]</f>
        <v>111120</v>
      </c>
      <c r="H189" s="16"/>
      <c r="I189" s="31">
        <f>IF(TablaEgreso[[#This Row],[Crédito Fiscal]]="Si",Configuración!$B$26,0)</f>
        <v>0</v>
      </c>
      <c r="J189" s="32">
        <f>TablaEgreso[[#This Row],[Egreso Total]]*TablaEgreso[[#This Row],[% de Crédito Fiscal]]</f>
        <v>0</v>
      </c>
      <c r="K189" s="146">
        <v>111120</v>
      </c>
    </row>
    <row r="190" spans="2:11" ht="20.100000000000001" customHeight="1" x14ac:dyDescent="0.25">
      <c r="B190" s="140">
        <v>45637</v>
      </c>
      <c r="C190" s="127" t="str">
        <f>IF(Egresos!$B190="","",TEXT(Egresos!$B190,"MMMM" ))</f>
        <v>diciembre</v>
      </c>
      <c r="D190" s="16" t="s">
        <v>113</v>
      </c>
      <c r="E190" s="17" t="s">
        <v>172</v>
      </c>
      <c r="F190" s="16" t="s">
        <v>120</v>
      </c>
      <c r="G190" s="35">
        <f>TablaEgreso[[#This Row],[Egreso Total]]-TablaEgreso[[#This Row],[Total Crédito Fiscal]]</f>
        <v>5500</v>
      </c>
      <c r="H190" s="16"/>
      <c r="I190" s="31">
        <f>IF(TablaEgreso[[#This Row],[Crédito Fiscal]]="Si",Configuración!$B$26,0)</f>
        <v>0</v>
      </c>
      <c r="J190" s="32">
        <f>TablaEgreso[[#This Row],[Egreso Total]]*TablaEgreso[[#This Row],[% de Crédito Fiscal]]</f>
        <v>0</v>
      </c>
      <c r="K190" s="146">
        <v>5500</v>
      </c>
    </row>
    <row r="191" spans="2:11" ht="20.100000000000001" customHeight="1" x14ac:dyDescent="0.25">
      <c r="B191" s="140">
        <v>45637</v>
      </c>
      <c r="C191" s="127" t="str">
        <f>IF(Egresos!$B191="","",TEXT(Egresos!$B191,"MMMM" ))</f>
        <v>diciembre</v>
      </c>
      <c r="D191" s="16" t="s">
        <v>103</v>
      </c>
      <c r="E191" s="17" t="s">
        <v>310</v>
      </c>
      <c r="F191" s="16" t="s">
        <v>120</v>
      </c>
      <c r="G191" s="35">
        <f>TablaEgreso[[#This Row],[Egreso Total]]-TablaEgreso[[#This Row],[Total Crédito Fiscal]]</f>
        <v>54800</v>
      </c>
      <c r="H191" s="16"/>
      <c r="I191" s="31">
        <f>IF(TablaEgreso[[#This Row],[Crédito Fiscal]]="Si",Configuración!$B$26,0)</f>
        <v>0</v>
      </c>
      <c r="J191" s="32">
        <f>TablaEgreso[[#This Row],[Egreso Total]]*TablaEgreso[[#This Row],[% de Crédito Fiscal]]</f>
        <v>0</v>
      </c>
      <c r="K191" s="146">
        <v>54800</v>
      </c>
    </row>
    <row r="192" spans="2:11" ht="20.100000000000001" customHeight="1" x14ac:dyDescent="0.25">
      <c r="B192" s="140">
        <v>45637</v>
      </c>
      <c r="C192" s="127" t="str">
        <f>IF(Egresos!$B192="","",TEXT(Egresos!$B192,"MMMM" ))</f>
        <v>diciembre</v>
      </c>
      <c r="D192" s="16" t="s">
        <v>114</v>
      </c>
      <c r="E192" s="17" t="s">
        <v>311</v>
      </c>
      <c r="F192" s="16" t="s">
        <v>120</v>
      </c>
      <c r="G192" s="35">
        <f>TablaEgreso[[#This Row],[Egreso Total]]-TablaEgreso[[#This Row],[Total Crédito Fiscal]]</f>
        <v>0</v>
      </c>
      <c r="H192" s="16"/>
      <c r="I192" s="31">
        <f>IF(TablaEgreso[[#This Row],[Crédito Fiscal]]="Si",Configuración!$B$26,0)</f>
        <v>0</v>
      </c>
      <c r="J192" s="32">
        <f>TablaEgreso[[#This Row],[Egreso Total]]*TablaEgreso[[#This Row],[% de Crédito Fiscal]]</f>
        <v>0</v>
      </c>
      <c r="K192" s="146">
        <v>0</v>
      </c>
    </row>
    <row r="193" spans="2:11" ht="20.100000000000001" customHeight="1" x14ac:dyDescent="0.25">
      <c r="B193" s="140">
        <v>45637</v>
      </c>
      <c r="C193" s="127" t="str">
        <f>IF(Egresos!$B193="","",TEXT(Egresos!$B193,"MMMM" ))</f>
        <v>diciembre</v>
      </c>
      <c r="D193" s="16" t="s">
        <v>142</v>
      </c>
      <c r="E193" s="17" t="s">
        <v>312</v>
      </c>
      <c r="F193" s="16" t="s">
        <v>118</v>
      </c>
      <c r="G193" s="35">
        <f>TablaEgreso[[#This Row],[Egreso Total]]-TablaEgreso[[#This Row],[Total Crédito Fiscal]]</f>
        <v>3000</v>
      </c>
      <c r="H193" s="16"/>
      <c r="I193" s="31">
        <f>IF(TablaEgreso[[#This Row],[Crédito Fiscal]]="Si",Configuración!$B$26,0)</f>
        <v>0</v>
      </c>
      <c r="J193" s="32">
        <f>TablaEgreso[[#This Row],[Egreso Total]]*TablaEgreso[[#This Row],[% de Crédito Fiscal]]</f>
        <v>0</v>
      </c>
      <c r="K193" s="146">
        <v>3000</v>
      </c>
    </row>
    <row r="194" spans="2:11" ht="20.100000000000001" customHeight="1" x14ac:dyDescent="0.25">
      <c r="B194" s="140">
        <v>45637</v>
      </c>
      <c r="C194" s="127" t="str">
        <f>IF(Egresos!$B194="","",TEXT(Egresos!$B194,"MMMM" ))</f>
        <v>diciembre</v>
      </c>
      <c r="D194" s="16" t="s">
        <v>9</v>
      </c>
      <c r="E194" s="17" t="s">
        <v>313</v>
      </c>
      <c r="F194" s="16" t="s">
        <v>118</v>
      </c>
      <c r="G194" s="35">
        <f>TablaEgreso[[#This Row],[Egreso Total]]-TablaEgreso[[#This Row],[Total Crédito Fiscal]]</f>
        <v>80000</v>
      </c>
      <c r="H194" s="16"/>
      <c r="I194" s="31">
        <f>IF(TablaEgreso[[#This Row],[Crédito Fiscal]]="Si",Configuración!$B$26,0)</f>
        <v>0</v>
      </c>
      <c r="J194" s="32">
        <f>TablaEgreso[[#This Row],[Egreso Total]]*TablaEgreso[[#This Row],[% de Crédito Fiscal]]</f>
        <v>0</v>
      </c>
      <c r="K194" s="146">
        <f>50000+30000</f>
        <v>80000</v>
      </c>
    </row>
    <row r="195" spans="2:11" ht="20.100000000000001" customHeight="1" x14ac:dyDescent="0.25">
      <c r="B195" s="140">
        <v>45637</v>
      </c>
      <c r="C195" s="127" t="str">
        <f>IF(Egresos!$B195="","",TEXT(Egresos!$B195,"MMMM" ))</f>
        <v>diciembre</v>
      </c>
      <c r="D195" s="16" t="s">
        <v>108</v>
      </c>
      <c r="E195" s="17" t="s">
        <v>314</v>
      </c>
      <c r="F195" s="16" t="s">
        <v>118</v>
      </c>
      <c r="G195" s="35">
        <f>TablaEgreso[[#This Row],[Egreso Total]]-TablaEgreso[[#This Row],[Total Crédito Fiscal]]</f>
        <v>69500</v>
      </c>
      <c r="H195" s="16"/>
      <c r="I195" s="31">
        <f>IF(TablaEgreso[[#This Row],[Crédito Fiscal]]="Si",Configuración!$B$26,0)</f>
        <v>0</v>
      </c>
      <c r="J195" s="32">
        <f>TablaEgreso[[#This Row],[Egreso Total]]*TablaEgreso[[#This Row],[% de Crédito Fiscal]]</f>
        <v>0</v>
      </c>
      <c r="K195" s="146">
        <v>69500</v>
      </c>
    </row>
    <row r="196" spans="2:11" ht="20.100000000000001" customHeight="1" x14ac:dyDescent="0.25">
      <c r="B196" s="140">
        <v>45637</v>
      </c>
      <c r="C196" s="127" t="str">
        <f>IF(Egresos!$B196="","",TEXT(Egresos!$B196,"MMMM" ))</f>
        <v>diciembre</v>
      </c>
      <c r="D196" s="16" t="s">
        <v>145</v>
      </c>
      <c r="E196" s="17" t="s">
        <v>315</v>
      </c>
      <c r="F196" s="16" t="s">
        <v>118</v>
      </c>
      <c r="G196" s="35">
        <f>TablaEgreso[[#This Row],[Egreso Total]]-TablaEgreso[[#This Row],[Total Crédito Fiscal]]</f>
        <v>12000</v>
      </c>
      <c r="H196" s="16"/>
      <c r="I196" s="31">
        <f>IF(TablaEgreso[[#This Row],[Crédito Fiscal]]="Si",Configuración!$B$26,0)</f>
        <v>0</v>
      </c>
      <c r="J196" s="32">
        <f>TablaEgreso[[#This Row],[Egreso Total]]*TablaEgreso[[#This Row],[% de Crédito Fiscal]]</f>
        <v>0</v>
      </c>
      <c r="K196" s="146">
        <v>12000</v>
      </c>
    </row>
    <row r="197" spans="2:11" ht="20.100000000000001" customHeight="1" x14ac:dyDescent="0.25">
      <c r="B197" s="140">
        <v>45637</v>
      </c>
      <c r="C197" s="127" t="str">
        <f>IF(Egresos!$B197="","",TEXT(Egresos!$B197,"MMMM" ))</f>
        <v>diciembre</v>
      </c>
      <c r="D197" s="16" t="s">
        <v>112</v>
      </c>
      <c r="E197" s="17" t="s">
        <v>316</v>
      </c>
      <c r="F197" s="16" t="s">
        <v>118</v>
      </c>
      <c r="G197" s="35">
        <f>TablaEgreso[[#This Row],[Egreso Total]]-TablaEgreso[[#This Row],[Total Crédito Fiscal]]</f>
        <v>10100</v>
      </c>
      <c r="H197" s="16"/>
      <c r="I197" s="31">
        <f>IF(TablaEgreso[[#This Row],[Crédito Fiscal]]="Si",Configuración!$B$26,0)</f>
        <v>0</v>
      </c>
      <c r="J197" s="32">
        <f>TablaEgreso[[#This Row],[Egreso Total]]*TablaEgreso[[#This Row],[% de Crédito Fiscal]]</f>
        <v>0</v>
      </c>
      <c r="K197" s="146">
        <v>10100</v>
      </c>
    </row>
    <row r="198" spans="2:11" ht="20.100000000000001" customHeight="1" x14ac:dyDescent="0.25">
      <c r="B198" s="140">
        <v>45637</v>
      </c>
      <c r="C198" s="127" t="str">
        <f>IF(Egresos!$B198="","",TEXT(Egresos!$B198,"MMMM" ))</f>
        <v>diciembre</v>
      </c>
      <c r="D198" s="16" t="s">
        <v>99</v>
      </c>
      <c r="E198" s="17" t="s">
        <v>317</v>
      </c>
      <c r="F198" s="16" t="s">
        <v>118</v>
      </c>
      <c r="G198" s="35">
        <f>TablaEgreso[[#This Row],[Egreso Total]]-TablaEgreso[[#This Row],[Total Crédito Fiscal]]</f>
        <v>57000</v>
      </c>
      <c r="H198" s="16"/>
      <c r="I198" s="31">
        <f>IF(TablaEgreso[[#This Row],[Crédito Fiscal]]="Si",Configuración!$B$26,0)</f>
        <v>0</v>
      </c>
      <c r="J198" s="32">
        <f>TablaEgreso[[#This Row],[Egreso Total]]*TablaEgreso[[#This Row],[% de Crédito Fiscal]]</f>
        <v>0</v>
      </c>
      <c r="K198" s="146">
        <v>57000</v>
      </c>
    </row>
    <row r="199" spans="2:11" ht="20.100000000000001" customHeight="1" x14ac:dyDescent="0.25">
      <c r="B199" s="140">
        <v>45637</v>
      </c>
      <c r="C199" s="127" t="str">
        <f>IF(Egresos!$B199="","",TEXT(Egresos!$B199,"MMMM" ))</f>
        <v>diciembre</v>
      </c>
      <c r="D199" s="16" t="s">
        <v>113</v>
      </c>
      <c r="E199" s="17" t="s">
        <v>318</v>
      </c>
      <c r="F199" s="16" t="s">
        <v>118</v>
      </c>
      <c r="G199" s="35">
        <f>TablaEgreso[[#This Row],[Egreso Total]]-TablaEgreso[[#This Row],[Total Crédito Fiscal]]</f>
        <v>114000</v>
      </c>
      <c r="H199" s="16"/>
      <c r="I199" s="31">
        <f>IF(TablaEgreso[[#This Row],[Crédito Fiscal]]="Si",Configuración!$B$26,0)</f>
        <v>0</v>
      </c>
      <c r="J199" s="32">
        <f>TablaEgreso[[#This Row],[Egreso Total]]*TablaEgreso[[#This Row],[% de Crédito Fiscal]]</f>
        <v>0</v>
      </c>
      <c r="K199" s="146">
        <v>114000</v>
      </c>
    </row>
    <row r="200" spans="2:11" ht="20.100000000000001" customHeight="1" x14ac:dyDescent="0.25">
      <c r="B200" s="140">
        <v>45637</v>
      </c>
      <c r="C200" s="127" t="str">
        <f>IF(Egresos!$B200="","",TEXT(Egresos!$B200,"MMMM" ))</f>
        <v>diciembre</v>
      </c>
      <c r="D200" s="16" t="s">
        <v>114</v>
      </c>
      <c r="E200" s="17" t="s">
        <v>319</v>
      </c>
      <c r="F200" s="16" t="s">
        <v>118</v>
      </c>
      <c r="G200" s="35">
        <f>TablaEgreso[[#This Row],[Egreso Total]]-TablaEgreso[[#This Row],[Total Crédito Fiscal]]</f>
        <v>0</v>
      </c>
      <c r="H200" s="16"/>
      <c r="I200" s="31">
        <f>IF(TablaEgreso[[#This Row],[Crédito Fiscal]]="Si",Configuración!$B$26,0)</f>
        <v>0</v>
      </c>
      <c r="J200" s="32">
        <f>TablaEgreso[[#This Row],[Egreso Total]]*TablaEgreso[[#This Row],[% de Crédito Fiscal]]</f>
        <v>0</v>
      </c>
      <c r="K200" s="146">
        <v>0</v>
      </c>
    </row>
    <row r="201" spans="2:11" ht="20.100000000000001" customHeight="1" x14ac:dyDescent="0.25">
      <c r="B201" s="140">
        <v>45637</v>
      </c>
      <c r="C201" s="127" t="str">
        <f>IF(Egresos!$B201="","",TEXT(Egresos!$B201,"MMMM" ))</f>
        <v>diciembre</v>
      </c>
      <c r="D201" s="16" t="s">
        <v>101</v>
      </c>
      <c r="E201" s="17" t="s">
        <v>191</v>
      </c>
      <c r="F201" s="16" t="s">
        <v>118</v>
      </c>
      <c r="G201" s="35">
        <f>TablaEgreso[[#This Row],[Egreso Total]]-TablaEgreso[[#This Row],[Total Crédito Fiscal]]</f>
        <v>150000</v>
      </c>
      <c r="H201" s="16"/>
      <c r="I201" s="31">
        <f>IF(TablaEgreso[[#This Row],[Crédito Fiscal]]="Si",Configuración!$B$26,0)</f>
        <v>0</v>
      </c>
      <c r="J201" s="32">
        <f>TablaEgreso[[#This Row],[Egreso Total]]*TablaEgreso[[#This Row],[% de Crédito Fiscal]]</f>
        <v>0</v>
      </c>
      <c r="K201" s="146">
        <v>150000</v>
      </c>
    </row>
    <row r="202" spans="2:11" ht="20.100000000000001" customHeight="1" x14ac:dyDescent="0.25">
      <c r="B202" s="140">
        <v>45637</v>
      </c>
      <c r="C202" s="127" t="str">
        <f>IF(Egresos!$B202="","",TEXT(Egresos!$B202,"MMMM" ))</f>
        <v>diciembre</v>
      </c>
      <c r="D202" s="16" t="s">
        <v>101</v>
      </c>
      <c r="E202" s="17" t="s">
        <v>394</v>
      </c>
      <c r="F202" s="16" t="s">
        <v>118</v>
      </c>
      <c r="G202" s="35">
        <f>TablaEgreso[[#This Row],[Egreso Total]]-TablaEgreso[[#This Row],[Total Crédito Fiscal]]</f>
        <v>150000</v>
      </c>
      <c r="H202" s="16"/>
      <c r="I202" s="31">
        <f>IF(TablaEgreso[[#This Row],[Crédito Fiscal]]="Si",Configuración!$B$26,0)</f>
        <v>0</v>
      </c>
      <c r="J202" s="32">
        <f>TablaEgreso[[#This Row],[Egreso Total]]*TablaEgreso[[#This Row],[% de Crédito Fiscal]]</f>
        <v>0</v>
      </c>
      <c r="K202" s="146">
        <v>150000</v>
      </c>
    </row>
    <row r="203" spans="2:11" ht="20.100000000000001" customHeight="1" x14ac:dyDescent="0.25">
      <c r="B203" s="140">
        <v>45638</v>
      </c>
      <c r="C203" s="127" t="str">
        <f>IF(Egresos!$B247="","",TEXT(Egresos!$B247,"MMMM" ))</f>
        <v>diciembre</v>
      </c>
      <c r="D203" s="16" t="s">
        <v>113</v>
      </c>
      <c r="E203" s="17" t="s">
        <v>356</v>
      </c>
      <c r="F203" s="16" t="s">
        <v>121</v>
      </c>
      <c r="G203" s="35">
        <f>TablaEgreso[[#This Row],[Egreso Total]]-TablaEgreso[[#This Row],[Total Crédito Fiscal]]</f>
        <v>0</v>
      </c>
      <c r="H203" s="16"/>
      <c r="I203" s="31">
        <f>IF(TablaEgreso[[#This Row],[Crédito Fiscal]]="Si",Configuración!$B$26,0)</f>
        <v>0</v>
      </c>
      <c r="J203" s="32">
        <f>TablaEgreso[[#This Row],[Egreso Total]]*TablaEgreso[[#This Row],[% de Crédito Fiscal]]</f>
        <v>0</v>
      </c>
      <c r="K203" s="146">
        <v>0</v>
      </c>
    </row>
    <row r="204" spans="2:11" ht="20.100000000000001" customHeight="1" x14ac:dyDescent="0.25">
      <c r="B204" s="140">
        <v>45643</v>
      </c>
      <c r="C204" s="127" t="str">
        <f>IF(Egresos!$B246="","",TEXT(Egresos!$B246,"MMMM" ))</f>
        <v>diciembre</v>
      </c>
      <c r="D204" s="16" t="s">
        <v>113</v>
      </c>
      <c r="E204" s="17" t="s">
        <v>427</v>
      </c>
      <c r="F204" s="16" t="s">
        <v>121</v>
      </c>
      <c r="G204" s="35">
        <f>TablaEgreso[[#This Row],[Egreso Total]]-TablaEgreso[[#This Row],[Total Crédito Fiscal]]</f>
        <v>59606.61</v>
      </c>
      <c r="H204" s="16"/>
      <c r="I204" s="31">
        <f>IF(TablaEgreso[[#This Row],[Crédito Fiscal]]="Si",Configuración!$B$26,0)</f>
        <v>0</v>
      </c>
      <c r="J204" s="32">
        <f>TablaEgreso[[#This Row],[Egreso Total]]*TablaEgreso[[#This Row],[% de Crédito Fiscal]]</f>
        <v>0</v>
      </c>
      <c r="K204" s="146">
        <v>59606.61</v>
      </c>
    </row>
    <row r="205" spans="2:11" ht="20.100000000000001" customHeight="1" x14ac:dyDescent="0.25">
      <c r="B205" s="140">
        <v>45642</v>
      </c>
      <c r="C205" s="127" t="str">
        <f>IF(Egresos!$B245="","",TEXT(Egresos!$B245,"MMMM" ))</f>
        <v>diciembre</v>
      </c>
      <c r="D205" s="16" t="s">
        <v>113</v>
      </c>
      <c r="E205" s="17" t="s">
        <v>426</v>
      </c>
      <c r="F205" s="16" t="s">
        <v>121</v>
      </c>
      <c r="G205" s="35">
        <f>TablaEgreso[[#This Row],[Egreso Total]]-TablaEgreso[[#This Row],[Total Crédito Fiscal]]</f>
        <v>38591.199999999997</v>
      </c>
      <c r="H205" s="16"/>
      <c r="I205" s="31">
        <f>IF(TablaEgreso[[#This Row],[Crédito Fiscal]]="Si",Configuración!$B$26,0)</f>
        <v>0</v>
      </c>
      <c r="J205" s="32">
        <f>TablaEgreso[[#This Row],[Egreso Total]]*TablaEgreso[[#This Row],[% de Crédito Fiscal]]</f>
        <v>0</v>
      </c>
      <c r="K205" s="146">
        <v>38591.199999999997</v>
      </c>
    </row>
    <row r="206" spans="2:11" ht="20.100000000000001" customHeight="1" x14ac:dyDescent="0.25">
      <c r="B206" s="140">
        <v>45632</v>
      </c>
      <c r="C206" s="127" t="str">
        <f>IF(Egresos!$B206="","",TEXT(Egresos!$B206,"MMMM" ))</f>
        <v>diciembre</v>
      </c>
      <c r="D206" s="16" t="s">
        <v>100</v>
      </c>
      <c r="E206" s="17" t="s">
        <v>323</v>
      </c>
      <c r="F206" s="16" t="s">
        <v>12</v>
      </c>
      <c r="G206" s="35">
        <f>TablaEgreso[[#This Row],[Egreso Total]]-TablaEgreso[[#This Row],[Total Crédito Fiscal]]</f>
        <v>1782120</v>
      </c>
      <c r="H206" s="16"/>
      <c r="I206" s="31">
        <f>IF(TablaEgreso[[#This Row],[Crédito Fiscal]]="Si",Configuración!$B$26,0)</f>
        <v>0</v>
      </c>
      <c r="J206" s="32">
        <f>TablaEgreso[[#This Row],[Egreso Total]]*TablaEgreso[[#This Row],[% de Crédito Fiscal]]</f>
        <v>0</v>
      </c>
      <c r="K206" s="146">
        <v>1782120</v>
      </c>
    </row>
    <row r="207" spans="2:11" ht="20.100000000000001" customHeight="1" x14ac:dyDescent="0.25">
      <c r="B207" s="140">
        <v>45637</v>
      </c>
      <c r="C207" s="127" t="str">
        <f>IF(Egresos!$B207="","",TEXT(Egresos!$B207,"MMMM" ))</f>
        <v>diciembre</v>
      </c>
      <c r="D207" s="16" t="s">
        <v>111</v>
      </c>
      <c r="E207" s="17" t="s">
        <v>415</v>
      </c>
      <c r="F207" s="16" t="s">
        <v>121</v>
      </c>
      <c r="G207" s="35">
        <f>TablaEgreso[[#This Row],[Egreso Total]]-TablaEgreso[[#This Row],[Total Crédito Fiscal]]</f>
        <v>1009316</v>
      </c>
      <c r="H207" s="16"/>
      <c r="I207" s="31">
        <f>IF(TablaEgreso[[#This Row],[Crédito Fiscal]]="Si",Configuración!$B$26,0)</f>
        <v>0</v>
      </c>
      <c r="J207" s="32">
        <f>TablaEgreso[[#This Row],[Egreso Total]]*TablaEgreso[[#This Row],[% de Crédito Fiscal]]</f>
        <v>0</v>
      </c>
      <c r="K207" s="146">
        <v>1009316</v>
      </c>
    </row>
    <row r="208" spans="2:11" ht="20.100000000000001" customHeight="1" x14ac:dyDescent="0.25">
      <c r="B208" s="140">
        <v>45635</v>
      </c>
      <c r="C208" s="127" t="str">
        <f>IF(Egresos!$B208="","",TEXT(Egresos!$B208,"MMMM" ))</f>
        <v>diciembre</v>
      </c>
      <c r="D208" s="16" t="s">
        <v>103</v>
      </c>
      <c r="E208" s="17" t="s">
        <v>324</v>
      </c>
      <c r="F208" s="16" t="s">
        <v>122</v>
      </c>
      <c r="G208" s="35">
        <f>TablaEgreso[[#This Row],[Egreso Total]]-TablaEgreso[[#This Row],[Total Crédito Fiscal]]</f>
        <v>663009.85</v>
      </c>
      <c r="H208" s="16"/>
      <c r="I208" s="31">
        <f>IF(TablaEgreso[[#This Row],[Crédito Fiscal]]="Si",Configuración!$B$26,0)</f>
        <v>0</v>
      </c>
      <c r="J208" s="32">
        <f>TablaEgreso[[#This Row],[Egreso Total]]*TablaEgreso[[#This Row],[% de Crédito Fiscal]]</f>
        <v>0</v>
      </c>
      <c r="K208" s="146">
        <v>663009.85</v>
      </c>
    </row>
    <row r="209" spans="2:11" ht="20.100000000000001" customHeight="1" x14ac:dyDescent="0.25">
      <c r="B209" s="140">
        <v>45637</v>
      </c>
      <c r="C209" s="127" t="str">
        <f>IF(Egresos!$B209="","",TEXT(Egresos!$B209,"MMMM" ))</f>
        <v>diciembre</v>
      </c>
      <c r="D209" s="16" t="s">
        <v>103</v>
      </c>
      <c r="E209" s="17" t="s">
        <v>414</v>
      </c>
      <c r="F209" s="16" t="s">
        <v>121</v>
      </c>
      <c r="G209" s="35">
        <f>TablaEgreso[[#This Row],[Egreso Total]]-TablaEgreso[[#This Row],[Total Crédito Fiscal]]</f>
        <v>19998.150000000001</v>
      </c>
      <c r="H209" s="16"/>
      <c r="I209" s="31">
        <f>IF(TablaEgreso[[#This Row],[Crédito Fiscal]]="Si",Configuración!$B$26,0)</f>
        <v>0</v>
      </c>
      <c r="J209" s="32">
        <f>TablaEgreso[[#This Row],[Egreso Total]]*TablaEgreso[[#This Row],[% de Crédito Fiscal]]</f>
        <v>0</v>
      </c>
      <c r="K209" s="146">
        <v>19998.150000000001</v>
      </c>
    </row>
    <row r="210" spans="2:11" ht="20.100000000000001" customHeight="1" x14ac:dyDescent="0.25">
      <c r="B210" s="140">
        <v>45630</v>
      </c>
      <c r="C210" s="127" t="str">
        <f>IF(Egresos!$B39="","",TEXT(Egresos!$B39,"MMMM" ))</f>
        <v>diciembre</v>
      </c>
      <c r="D210" s="16" t="s">
        <v>113</v>
      </c>
      <c r="E210" s="17" t="s">
        <v>177</v>
      </c>
      <c r="F210" s="16" t="s">
        <v>119</v>
      </c>
      <c r="G210" s="35">
        <f>TablaEgreso[[#This Row],[Egreso Total]]-TablaEgreso[[#This Row],[Total Crédito Fiscal]]</f>
        <v>27100</v>
      </c>
      <c r="H210" s="16"/>
      <c r="I210" s="31">
        <f>IF(TablaEgreso[[#This Row],[Crédito Fiscal]]="Si",Configuración!$B$26,0)</f>
        <v>0</v>
      </c>
      <c r="J210" s="32">
        <f>TablaEgreso[[#This Row],[Egreso Total]]*TablaEgreso[[#This Row],[% de Crédito Fiscal]]</f>
        <v>0</v>
      </c>
      <c r="K210" s="146">
        <v>27100</v>
      </c>
    </row>
    <row r="211" spans="2:11" ht="20.100000000000001" customHeight="1" x14ac:dyDescent="0.25">
      <c r="B211" s="140">
        <v>45638</v>
      </c>
      <c r="C211" s="127" t="str">
        <f>IF(Egresos!$B211="","",TEXT(Egresos!$B211,"MMMM" ))</f>
        <v>diciembre</v>
      </c>
      <c r="D211" s="16" t="s">
        <v>109</v>
      </c>
      <c r="E211" s="17" t="s">
        <v>326</v>
      </c>
      <c r="F211" s="16" t="s">
        <v>119</v>
      </c>
      <c r="G211" s="35">
        <f>TablaEgreso[[#This Row],[Egreso Total]]-TablaEgreso[[#This Row],[Total Crédito Fiscal]]</f>
        <v>899</v>
      </c>
      <c r="H211" s="16"/>
      <c r="I211" s="31">
        <f>IF(TablaEgreso[[#This Row],[Crédito Fiscal]]="Si",Configuración!$B$26,0)</f>
        <v>0</v>
      </c>
      <c r="J211" s="32">
        <f>TablaEgreso[[#This Row],[Egreso Total]]*TablaEgreso[[#This Row],[% de Crédito Fiscal]]</f>
        <v>0</v>
      </c>
      <c r="K211" s="146">
        <v>899</v>
      </c>
    </row>
    <row r="212" spans="2:11" ht="20.100000000000001" customHeight="1" x14ac:dyDescent="0.25">
      <c r="B212" s="140">
        <v>45629</v>
      </c>
      <c r="C212" s="127" t="str">
        <f>IF(Egresos!$B30="","",TEXT(Egresos!$B30,"MMMM" ))</f>
        <v>diciembre</v>
      </c>
      <c r="D212" s="16" t="s">
        <v>113</v>
      </c>
      <c r="E212" s="17" t="s">
        <v>169</v>
      </c>
      <c r="F212" s="16" t="s">
        <v>119</v>
      </c>
      <c r="G212" s="35">
        <f>TablaEgreso[[#This Row],[Egreso Total]]-TablaEgreso[[#This Row],[Total Crédito Fiscal]]</f>
        <v>352120</v>
      </c>
      <c r="H212" s="16"/>
      <c r="I212" s="31">
        <f>IF(TablaEgreso[[#This Row],[Crédito Fiscal]]="Si",Configuración!$B$26,0)</f>
        <v>0</v>
      </c>
      <c r="J212" s="32">
        <f>TablaEgreso[[#This Row],[Egreso Total]]*TablaEgreso[[#This Row],[% de Crédito Fiscal]]</f>
        <v>0</v>
      </c>
      <c r="K212" s="146">
        <v>352120</v>
      </c>
    </row>
    <row r="213" spans="2:11" ht="20.100000000000001" customHeight="1" x14ac:dyDescent="0.25">
      <c r="B213" s="140">
        <v>45629</v>
      </c>
      <c r="C213" s="127" t="str">
        <f>IF(Egresos!$B29="","",TEXT(Egresos!$B29,"MMMM" ))</f>
        <v>diciembre</v>
      </c>
      <c r="D213" s="16" t="s">
        <v>113</v>
      </c>
      <c r="E213" s="17" t="s">
        <v>168</v>
      </c>
      <c r="F213" s="16" t="s">
        <v>119</v>
      </c>
      <c r="G213" s="35">
        <f>TablaEgreso[[#This Row],[Egreso Total]]-TablaEgreso[[#This Row],[Total Crédito Fiscal]]</f>
        <v>285000</v>
      </c>
      <c r="H213" s="16"/>
      <c r="I213" s="31">
        <f>IF(TablaEgreso[[#This Row],[Crédito Fiscal]]="Si",Configuración!$B$26,0)</f>
        <v>0</v>
      </c>
      <c r="J213" s="32">
        <f>TablaEgreso[[#This Row],[Egreso Total]]*TablaEgreso[[#This Row],[% de Crédito Fiscal]]</f>
        <v>0</v>
      </c>
      <c r="K213" s="146">
        <v>285000</v>
      </c>
    </row>
    <row r="214" spans="2:11" ht="20.100000000000001" customHeight="1" x14ac:dyDescent="0.25">
      <c r="B214" s="140">
        <v>45628</v>
      </c>
      <c r="C214" s="127" t="str">
        <f>IF(Egresos!$B17="","",TEXT(Egresos!$B17,"MMMM" ))</f>
        <v>diciembre</v>
      </c>
      <c r="D214" s="16" t="s">
        <v>113</v>
      </c>
      <c r="E214" s="17" t="s">
        <v>157</v>
      </c>
      <c r="F214" s="16" t="s">
        <v>119</v>
      </c>
      <c r="G214" s="35">
        <f>TablaEgreso[[#This Row],[Egreso Total]]-TablaEgreso[[#This Row],[Total Crédito Fiscal]]</f>
        <v>8165.33</v>
      </c>
      <c r="H214" s="16"/>
      <c r="I214" s="31">
        <f>IF(TablaEgreso[[#This Row],[Crédito Fiscal]]="Si",Configuración!$B$26,0)</f>
        <v>0</v>
      </c>
      <c r="J214" s="32">
        <f>TablaEgreso[[#This Row],[Egreso Total]]*TablaEgreso[[#This Row],[% de Crédito Fiscal]]</f>
        <v>0</v>
      </c>
      <c r="K214" s="146">
        <v>8165.33</v>
      </c>
    </row>
    <row r="215" spans="2:11" ht="20.100000000000001" customHeight="1" x14ac:dyDescent="0.25">
      <c r="B215" s="140">
        <v>45636</v>
      </c>
      <c r="C215" s="127" t="str">
        <f>IF(Egresos!$B155="","",TEXT(Egresos!$B155,"MMMM" ))</f>
        <v>diciembre</v>
      </c>
      <c r="D215" s="16" t="s">
        <v>113</v>
      </c>
      <c r="E215" s="17" t="s">
        <v>157</v>
      </c>
      <c r="F215" s="16" t="s">
        <v>119</v>
      </c>
      <c r="G215" s="35">
        <f>TablaEgreso[[#This Row],[Egreso Total]]-TablaEgreso[[#This Row],[Total Crédito Fiscal]]</f>
        <v>14500</v>
      </c>
      <c r="H215" s="16"/>
      <c r="I215" s="31">
        <f>IF(TablaEgreso[[#This Row],[Crédito Fiscal]]="Si",Configuración!$B$26,0)</f>
        <v>0</v>
      </c>
      <c r="J215" s="32">
        <f>TablaEgreso[[#This Row],[Egreso Total]]*TablaEgreso[[#This Row],[% de Crédito Fiscal]]</f>
        <v>0</v>
      </c>
      <c r="K215" s="146">
        <v>14500</v>
      </c>
    </row>
    <row r="216" spans="2:11" ht="20.100000000000001" customHeight="1" x14ac:dyDescent="0.25">
      <c r="B216" s="140">
        <v>45643</v>
      </c>
      <c r="C216" s="127" t="str">
        <f>IF(Egresos!$B303="","",TEXT(Egresos!$B303,"MMMM" ))</f>
        <v>diciembre</v>
      </c>
      <c r="D216" s="16" t="s">
        <v>113</v>
      </c>
      <c r="E216" s="17" t="s">
        <v>157</v>
      </c>
      <c r="F216" s="16" t="s">
        <v>119</v>
      </c>
      <c r="G216" s="35">
        <f>TablaEgreso[[#This Row],[Egreso Total]]-TablaEgreso[[#This Row],[Total Crédito Fiscal]]</f>
        <v>164400</v>
      </c>
      <c r="H216" s="16"/>
      <c r="I216" s="31">
        <f>IF(TablaEgreso[[#This Row],[Crédito Fiscal]]="Si",Configuración!$B$26,0)</f>
        <v>0</v>
      </c>
      <c r="J216" s="32">
        <f>TablaEgreso[[#This Row],[Egreso Total]]*TablaEgreso[[#This Row],[% de Crédito Fiscal]]</f>
        <v>0</v>
      </c>
      <c r="K216" s="146">
        <v>164400</v>
      </c>
    </row>
    <row r="217" spans="2:11" ht="20.100000000000001" customHeight="1" x14ac:dyDescent="0.25">
      <c r="B217" s="140">
        <v>45638</v>
      </c>
      <c r="C217" s="127" t="str">
        <f>IF(Egresos!$B217="","",TEXT(Egresos!$B217,"MMMM" ))</f>
        <v>diciembre</v>
      </c>
      <c r="D217" s="16" t="s">
        <v>110</v>
      </c>
      <c r="E217" s="17" t="s">
        <v>332</v>
      </c>
      <c r="F217" s="16" t="s">
        <v>119</v>
      </c>
      <c r="G217" s="35">
        <f>TablaEgreso[[#This Row],[Egreso Total]]-TablaEgreso[[#This Row],[Total Crédito Fiscal]]</f>
        <v>6229</v>
      </c>
      <c r="H217" s="16"/>
      <c r="I217" s="31">
        <f>IF(TablaEgreso[[#This Row],[Crédito Fiscal]]="Si",Configuración!$B$26,0)</f>
        <v>0</v>
      </c>
      <c r="J217" s="32">
        <f>TablaEgreso[[#This Row],[Egreso Total]]*TablaEgreso[[#This Row],[% de Crédito Fiscal]]</f>
        <v>0</v>
      </c>
      <c r="K217" s="146">
        <v>6229</v>
      </c>
    </row>
    <row r="218" spans="2:11" ht="20.100000000000001" customHeight="1" x14ac:dyDescent="0.25">
      <c r="B218" s="140">
        <v>45638</v>
      </c>
      <c r="C218" s="127" t="str">
        <f>IF(Egresos!$B218="","",TEXT(Egresos!$B218,"MMMM" ))</f>
        <v>diciembre</v>
      </c>
      <c r="D218" s="16" t="s">
        <v>114</v>
      </c>
      <c r="E218" s="17" t="s">
        <v>333</v>
      </c>
      <c r="F218" s="16" t="s">
        <v>119</v>
      </c>
      <c r="G218" s="35">
        <f>TablaEgreso[[#This Row],[Egreso Total]]-TablaEgreso[[#This Row],[Total Crédito Fiscal]]</f>
        <v>0</v>
      </c>
      <c r="H218" s="16"/>
      <c r="I218" s="31">
        <f>IF(TablaEgreso[[#This Row],[Crédito Fiscal]]="Si",Configuración!$B$26,0)</f>
        <v>0</v>
      </c>
      <c r="J218" s="32">
        <f>TablaEgreso[[#This Row],[Egreso Total]]*TablaEgreso[[#This Row],[% de Crédito Fiscal]]</f>
        <v>0</v>
      </c>
      <c r="K218" s="146">
        <v>0</v>
      </c>
    </row>
    <row r="219" spans="2:11" ht="20.100000000000001" customHeight="1" x14ac:dyDescent="0.25">
      <c r="B219" s="140">
        <v>45635</v>
      </c>
      <c r="C219" s="127" t="str">
        <f>IF(Egresos!$B172="","",TEXT(Egresos!$B172,"MMMM" ))</f>
        <v>diciembre</v>
      </c>
      <c r="D219" s="16" t="s">
        <v>146</v>
      </c>
      <c r="E219" s="17" t="s">
        <v>293</v>
      </c>
      <c r="F219" s="16" t="s">
        <v>12</v>
      </c>
      <c r="G219" s="35">
        <f>TablaEgreso[[#This Row],[Egreso Total]]-TablaEgreso[[#This Row],[Total Crédito Fiscal]]</f>
        <v>13492.05</v>
      </c>
      <c r="H219" s="16"/>
      <c r="I219" s="31">
        <f>IF(TablaEgreso[[#This Row],[Crédito Fiscal]]="Si",Configuración!$B$26,0)</f>
        <v>0</v>
      </c>
      <c r="J219" s="32">
        <f>TablaEgreso[[#This Row],[Egreso Total]]*TablaEgreso[[#This Row],[% de Crédito Fiscal]]</f>
        <v>0</v>
      </c>
      <c r="K219" s="146">
        <v>13492.05</v>
      </c>
    </row>
    <row r="220" spans="2:11" ht="20.100000000000001" customHeight="1" x14ac:dyDescent="0.25">
      <c r="B220" s="140">
        <v>45638</v>
      </c>
      <c r="C220" s="127" t="str">
        <f>IF(Egresos!$B210="","",TEXT(Egresos!$B210,"MMMM" ))</f>
        <v>diciembre</v>
      </c>
      <c r="D220" s="16" t="s">
        <v>108</v>
      </c>
      <c r="E220" s="17" t="s">
        <v>325</v>
      </c>
      <c r="F220" s="16" t="s">
        <v>119</v>
      </c>
      <c r="G220" s="35">
        <f>TablaEgreso[[#This Row],[Egreso Total]]-TablaEgreso[[#This Row],[Total Crédito Fiscal]]</f>
        <v>600</v>
      </c>
      <c r="H220" s="16"/>
      <c r="I220" s="31">
        <f>IF(TablaEgreso[[#This Row],[Crédito Fiscal]]="Si",Configuración!$B$26,0)</f>
        <v>0</v>
      </c>
      <c r="J220" s="32">
        <f>TablaEgreso[[#This Row],[Egreso Total]]*TablaEgreso[[#This Row],[% de Crédito Fiscal]]</f>
        <v>0</v>
      </c>
      <c r="K220" s="146">
        <v>600</v>
      </c>
    </row>
    <row r="221" spans="2:11" ht="20.100000000000001" customHeight="1" x14ac:dyDescent="0.25">
      <c r="B221" s="140">
        <v>45628</v>
      </c>
      <c r="C221" s="127" t="str">
        <f>IF(Egresos!$B18="","",TEXT(Egresos!$B18,"MMMM" ))</f>
        <v>diciembre</v>
      </c>
      <c r="D221" s="16" t="s">
        <v>113</v>
      </c>
      <c r="E221" s="17" t="s">
        <v>158</v>
      </c>
      <c r="F221" s="16" t="s">
        <v>119</v>
      </c>
      <c r="G221" s="35">
        <f>TablaEgreso[[#This Row],[Egreso Total]]-TablaEgreso[[#This Row],[Total Crédito Fiscal]]</f>
        <v>23500</v>
      </c>
      <c r="H221" s="16"/>
      <c r="I221" s="31">
        <f>IF(TablaEgreso[[#This Row],[Crédito Fiscal]]="Si",Configuración!$B$26,0)</f>
        <v>0</v>
      </c>
      <c r="J221" s="32">
        <f>TablaEgreso[[#This Row],[Egreso Total]]*TablaEgreso[[#This Row],[% de Crédito Fiscal]]</f>
        <v>0</v>
      </c>
      <c r="K221" s="146">
        <v>23500</v>
      </c>
    </row>
    <row r="222" spans="2:11" ht="20.100000000000001" customHeight="1" x14ac:dyDescent="0.25">
      <c r="B222" s="140">
        <v>45638</v>
      </c>
      <c r="C222" s="127" t="str">
        <f>IF(Egresos!$B222="","",TEXT(Egresos!$B222,"MMMM" ))</f>
        <v>diciembre</v>
      </c>
      <c r="D222" s="16" t="s">
        <v>113</v>
      </c>
      <c r="E222" s="17" t="s">
        <v>337</v>
      </c>
      <c r="F222" s="16" t="s">
        <v>12</v>
      </c>
      <c r="G222" s="35">
        <f>TablaEgreso[[#This Row],[Egreso Total]]-TablaEgreso[[#This Row],[Total Crédito Fiscal]]</f>
        <v>12000</v>
      </c>
      <c r="H222" s="16"/>
      <c r="I222" s="31">
        <f>IF(TablaEgreso[[#This Row],[Crédito Fiscal]]="Si",Configuración!$B$26,0)</f>
        <v>0</v>
      </c>
      <c r="J222" s="32">
        <f>TablaEgreso[[#This Row],[Egreso Total]]*TablaEgreso[[#This Row],[% de Crédito Fiscal]]</f>
        <v>0</v>
      </c>
      <c r="K222" s="146">
        <v>12000</v>
      </c>
    </row>
    <row r="223" spans="2:11" ht="20.100000000000001" customHeight="1" x14ac:dyDescent="0.25">
      <c r="B223" s="140">
        <v>45638</v>
      </c>
      <c r="C223" s="127" t="str">
        <f>IF(Egresos!$B223="","",TEXT(Egresos!$B223,"MMMM" ))</f>
        <v>diciembre</v>
      </c>
      <c r="D223" s="16" t="s">
        <v>113</v>
      </c>
      <c r="E223" s="17" t="s">
        <v>338</v>
      </c>
      <c r="F223" s="16" t="s">
        <v>13</v>
      </c>
      <c r="G223" s="35">
        <f>TablaEgreso[[#This Row],[Egreso Total]]-TablaEgreso[[#This Row],[Total Crédito Fiscal]]</f>
        <v>92026.63</v>
      </c>
      <c r="H223" s="16"/>
      <c r="I223" s="31">
        <f>IF(TablaEgreso[[#This Row],[Crédito Fiscal]]="Si",Configuración!$B$26,0)</f>
        <v>0</v>
      </c>
      <c r="J223" s="32">
        <f>TablaEgreso[[#This Row],[Egreso Total]]*TablaEgreso[[#This Row],[% de Crédito Fiscal]]</f>
        <v>0</v>
      </c>
      <c r="K223" s="146">
        <v>92026.63</v>
      </c>
    </row>
    <row r="224" spans="2:11" ht="20.100000000000001" customHeight="1" x14ac:dyDescent="0.25">
      <c r="B224" s="140">
        <v>45638</v>
      </c>
      <c r="C224" s="127" t="str">
        <f>IF(Egresos!$B224="","",TEXT(Egresos!$B224,"MMMM" ))</f>
        <v>diciembre</v>
      </c>
      <c r="D224" s="16" t="s">
        <v>113</v>
      </c>
      <c r="E224" s="17" t="s">
        <v>339</v>
      </c>
      <c r="F224" s="16" t="s">
        <v>13</v>
      </c>
      <c r="G224" s="35">
        <f>TablaEgreso[[#This Row],[Egreso Total]]-TablaEgreso[[#This Row],[Total Crédito Fiscal]]</f>
        <v>109090.87</v>
      </c>
      <c r="H224" s="16"/>
      <c r="I224" s="31">
        <f>IF(TablaEgreso[[#This Row],[Crédito Fiscal]]="Si",Configuración!$B$26,0)</f>
        <v>0</v>
      </c>
      <c r="J224" s="32">
        <f>TablaEgreso[[#This Row],[Egreso Total]]*TablaEgreso[[#This Row],[% de Crédito Fiscal]]</f>
        <v>0</v>
      </c>
      <c r="K224" s="146">
        <v>109090.87</v>
      </c>
    </row>
    <row r="225" spans="2:11" ht="20.100000000000001" customHeight="1" x14ac:dyDescent="0.25">
      <c r="B225" s="140">
        <v>45638</v>
      </c>
      <c r="C225" s="127" t="str">
        <f>IF(Egresos!$B225="","",TEXT(Egresos!$B225,"MMMM" ))</f>
        <v>diciembre</v>
      </c>
      <c r="D225" s="16" t="s">
        <v>113</v>
      </c>
      <c r="E225" s="17" t="s">
        <v>262</v>
      </c>
      <c r="F225" s="16" t="s">
        <v>13</v>
      </c>
      <c r="G225" s="35">
        <f>TablaEgreso[[#This Row],[Egreso Total]]-TablaEgreso[[#This Row],[Total Crédito Fiscal]]</f>
        <v>55254.89</v>
      </c>
      <c r="H225" s="16"/>
      <c r="I225" s="31">
        <f>IF(TablaEgreso[[#This Row],[Crédito Fiscal]]="Si",Configuración!$B$26,0)</f>
        <v>0</v>
      </c>
      <c r="J225" s="32">
        <f>TablaEgreso[[#This Row],[Egreso Total]]*TablaEgreso[[#This Row],[% de Crédito Fiscal]]</f>
        <v>0</v>
      </c>
      <c r="K225" s="146">
        <v>55254.89</v>
      </c>
    </row>
    <row r="226" spans="2:11" ht="20.100000000000001" customHeight="1" x14ac:dyDescent="0.25">
      <c r="B226" s="140">
        <v>45638</v>
      </c>
      <c r="C226" s="127" t="str">
        <f>IF(Egresos!$B226="","",TEXT(Egresos!$B226,"MMMM" ))</f>
        <v>diciembre</v>
      </c>
      <c r="D226" s="16" t="s">
        <v>113</v>
      </c>
      <c r="E226" s="17" t="s">
        <v>183</v>
      </c>
      <c r="F226" s="16" t="s">
        <v>13</v>
      </c>
      <c r="G226" s="35">
        <f>TablaEgreso[[#This Row],[Egreso Total]]-TablaEgreso[[#This Row],[Total Crédito Fiscal]]</f>
        <v>90002</v>
      </c>
      <c r="H226" s="16"/>
      <c r="I226" s="31">
        <f>IF(TablaEgreso[[#This Row],[Crédito Fiscal]]="Si",Configuración!$B$26,0)</f>
        <v>0</v>
      </c>
      <c r="J226" s="32">
        <f>TablaEgreso[[#This Row],[Egreso Total]]*TablaEgreso[[#This Row],[% de Crédito Fiscal]]</f>
        <v>0</v>
      </c>
      <c r="K226" s="146">
        <v>90002</v>
      </c>
    </row>
    <row r="227" spans="2:11" ht="20.100000000000001" customHeight="1" x14ac:dyDescent="0.25">
      <c r="B227" s="140">
        <v>45638</v>
      </c>
      <c r="C227" s="127" t="str">
        <f>IF(Egresos!$B243="","",TEXT(Egresos!$B243,"MMMM" ))</f>
        <v>diciembre</v>
      </c>
      <c r="D227" s="16" t="s">
        <v>113</v>
      </c>
      <c r="E227" s="17" t="s">
        <v>354</v>
      </c>
      <c r="F227" s="16" t="s">
        <v>121</v>
      </c>
      <c r="G227" s="35">
        <f>TablaEgreso[[#This Row],[Egreso Total]]-TablaEgreso[[#This Row],[Total Crédito Fiscal]]</f>
        <v>0</v>
      </c>
      <c r="H227" s="16"/>
      <c r="I227" s="31">
        <f>IF(TablaEgreso[[#This Row],[Crédito Fiscal]]="Si",Configuración!$B$26,0)</f>
        <v>0</v>
      </c>
      <c r="J227" s="32">
        <f>TablaEgreso[[#This Row],[Egreso Total]]*TablaEgreso[[#This Row],[% de Crédito Fiscal]]</f>
        <v>0</v>
      </c>
      <c r="K227" s="146">
        <v>0</v>
      </c>
    </row>
    <row r="228" spans="2:11" ht="20.100000000000001" customHeight="1" x14ac:dyDescent="0.25">
      <c r="B228" s="140">
        <v>45638</v>
      </c>
      <c r="C228" s="127" t="str">
        <f>IF(Egresos!$B228="","",TEXT(Egresos!$B228,"MMMM" ))</f>
        <v>diciembre</v>
      </c>
      <c r="D228" s="16" t="s">
        <v>108</v>
      </c>
      <c r="E228" s="17" t="s">
        <v>341</v>
      </c>
      <c r="F228" s="16" t="s">
        <v>13</v>
      </c>
      <c r="G228" s="35">
        <f>TablaEgreso[[#This Row],[Egreso Total]]-TablaEgreso[[#This Row],[Total Crédito Fiscal]]</f>
        <v>112513.86</v>
      </c>
      <c r="H228" s="16"/>
      <c r="I228" s="31">
        <f>IF(TablaEgreso[[#This Row],[Crédito Fiscal]]="Si",Configuración!$B$26,0)</f>
        <v>0</v>
      </c>
      <c r="J228" s="32">
        <f>TablaEgreso[[#This Row],[Egreso Total]]*TablaEgreso[[#This Row],[% de Crédito Fiscal]]</f>
        <v>0</v>
      </c>
      <c r="K228" s="146">
        <v>112513.86</v>
      </c>
    </row>
    <row r="229" spans="2:11" ht="20.100000000000001" customHeight="1" x14ac:dyDescent="0.25">
      <c r="B229" s="140">
        <v>45638</v>
      </c>
      <c r="C229" s="127" t="str">
        <f>IF(Egresos!$B229="","",TEXT(Egresos!$B229,"MMMM" ))</f>
        <v>diciembre</v>
      </c>
      <c r="D229" s="16" t="s">
        <v>108</v>
      </c>
      <c r="E229" s="17" t="s">
        <v>342</v>
      </c>
      <c r="F229" s="16" t="s">
        <v>13</v>
      </c>
      <c r="G229" s="35">
        <f>TablaEgreso[[#This Row],[Egreso Total]]-TablaEgreso[[#This Row],[Total Crédito Fiscal]]</f>
        <v>112514.86</v>
      </c>
      <c r="H229" s="16"/>
      <c r="I229" s="31">
        <f>IF(TablaEgreso[[#This Row],[Crédito Fiscal]]="Si",Configuración!$B$26,0)</f>
        <v>0</v>
      </c>
      <c r="J229" s="32">
        <f>TablaEgreso[[#This Row],[Egreso Total]]*TablaEgreso[[#This Row],[% de Crédito Fiscal]]</f>
        <v>0</v>
      </c>
      <c r="K229" s="146">
        <v>112514.86</v>
      </c>
    </row>
    <row r="230" spans="2:11" ht="20.100000000000001" customHeight="1" x14ac:dyDescent="0.25">
      <c r="B230" s="140">
        <v>45638</v>
      </c>
      <c r="C230" s="127" t="str">
        <f>IF(Egresos!$B230="","",TEXT(Egresos!$B230,"MMMM" ))</f>
        <v>diciembre</v>
      </c>
      <c r="D230" s="16" t="s">
        <v>113</v>
      </c>
      <c r="E230" s="17" t="s">
        <v>343</v>
      </c>
      <c r="F230" s="16" t="s">
        <v>13</v>
      </c>
      <c r="G230" s="35">
        <f>TablaEgreso[[#This Row],[Egreso Total]]-TablaEgreso[[#This Row],[Total Crédito Fiscal]]</f>
        <v>16871.18</v>
      </c>
      <c r="H230" s="16"/>
      <c r="I230" s="31">
        <f>IF(TablaEgreso[[#This Row],[Crédito Fiscal]]="Si",Configuración!$B$26,0)</f>
        <v>0</v>
      </c>
      <c r="J230" s="32">
        <f>TablaEgreso[[#This Row],[Egreso Total]]*TablaEgreso[[#This Row],[% de Crédito Fiscal]]</f>
        <v>0</v>
      </c>
      <c r="K230" s="146">
        <v>16871.18</v>
      </c>
    </row>
    <row r="231" spans="2:11" ht="20.100000000000001" customHeight="1" x14ac:dyDescent="0.25">
      <c r="B231" s="140">
        <v>45643</v>
      </c>
      <c r="C231" s="127" t="str">
        <f>IF(Egresos!$B231="","",TEXT(Egresos!$B231,"MMMM" ))</f>
        <v>diciembre</v>
      </c>
      <c r="D231" s="16" t="s">
        <v>111</v>
      </c>
      <c r="E231" s="17" t="s">
        <v>421</v>
      </c>
      <c r="F231" s="16" t="s">
        <v>121</v>
      </c>
      <c r="G231" s="35">
        <f>TablaEgreso[[#This Row],[Egreso Total]]-TablaEgreso[[#This Row],[Total Crédito Fiscal]]</f>
        <v>1140490</v>
      </c>
      <c r="H231" s="16"/>
      <c r="I231" s="31">
        <f>IF(TablaEgreso[[#This Row],[Crédito Fiscal]]="Si",Configuración!$B$26,0)</f>
        <v>0</v>
      </c>
      <c r="J231" s="32">
        <f>TablaEgreso[[#This Row],[Egreso Total]]*TablaEgreso[[#This Row],[% de Crédito Fiscal]]</f>
        <v>0</v>
      </c>
      <c r="K231" s="146">
        <v>1140490</v>
      </c>
    </row>
    <row r="232" spans="2:11" ht="20.100000000000001" customHeight="1" x14ac:dyDescent="0.25">
      <c r="B232" s="140">
        <v>45638</v>
      </c>
      <c r="C232" s="127" t="str">
        <f>IF(Egresos!$B232="","",TEXT(Egresos!$B232,"MMMM" ))</f>
        <v>diciembre</v>
      </c>
      <c r="D232" s="16" t="s">
        <v>100</v>
      </c>
      <c r="E232" s="17" t="s">
        <v>344</v>
      </c>
      <c r="F232" s="16" t="s">
        <v>122</v>
      </c>
      <c r="G232" s="35">
        <f>TablaEgreso[[#This Row],[Egreso Total]]-TablaEgreso[[#This Row],[Total Crédito Fiscal]]</f>
        <v>4405733.95</v>
      </c>
      <c r="H232" s="16"/>
      <c r="I232" s="31">
        <f>IF(TablaEgreso[[#This Row],[Crédito Fiscal]]="Si",Configuración!$B$26,0)</f>
        <v>0</v>
      </c>
      <c r="J232" s="32">
        <f>TablaEgreso[[#This Row],[Egreso Total]]*TablaEgreso[[#This Row],[% de Crédito Fiscal]]</f>
        <v>0</v>
      </c>
      <c r="K232" s="146">
        <v>4405733.95</v>
      </c>
    </row>
    <row r="233" spans="2:11" ht="20.100000000000001" customHeight="1" x14ac:dyDescent="0.25">
      <c r="B233" s="140">
        <v>45638</v>
      </c>
      <c r="C233" s="127" t="str">
        <f>IF(Egresos!$B233="","",TEXT(Egresos!$B233,"MMMM" ))</f>
        <v>diciembre</v>
      </c>
      <c r="D233" s="16" t="s">
        <v>100</v>
      </c>
      <c r="E233" s="17" t="s">
        <v>345</v>
      </c>
      <c r="F233" s="16" t="s">
        <v>121</v>
      </c>
      <c r="G233" s="35">
        <f>TablaEgreso[[#This Row],[Egreso Total]]-TablaEgreso[[#This Row],[Total Crédito Fiscal]]</f>
        <v>0</v>
      </c>
      <c r="H233" s="16"/>
      <c r="I233" s="31">
        <f>IF(TablaEgreso[[#This Row],[Crédito Fiscal]]="Si",Configuración!$B$26,0)</f>
        <v>0</v>
      </c>
      <c r="J233" s="32">
        <f>TablaEgreso[[#This Row],[Egreso Total]]*TablaEgreso[[#This Row],[% de Crédito Fiscal]]</f>
        <v>0</v>
      </c>
      <c r="K233" s="146">
        <v>0</v>
      </c>
    </row>
    <row r="234" spans="2:11" ht="20.100000000000001" customHeight="1" x14ac:dyDescent="0.25">
      <c r="B234" s="140">
        <v>45638</v>
      </c>
      <c r="C234" s="127" t="str">
        <f>IF(Egresos!$B234="","",TEXT(Egresos!$B234,"MMMM" ))</f>
        <v>diciembre</v>
      </c>
      <c r="D234" s="16" t="s">
        <v>113</v>
      </c>
      <c r="E234" s="17" t="s">
        <v>346</v>
      </c>
      <c r="F234" s="16" t="s">
        <v>121</v>
      </c>
      <c r="G234" s="35">
        <f>TablaEgreso[[#This Row],[Egreso Total]]-TablaEgreso[[#This Row],[Total Crédito Fiscal]]</f>
        <v>0</v>
      </c>
      <c r="H234" s="16"/>
      <c r="I234" s="31">
        <f>IF(TablaEgreso[[#This Row],[Crédito Fiscal]]="Si",Configuración!$B$26,0)</f>
        <v>0</v>
      </c>
      <c r="J234" s="32">
        <f>TablaEgreso[[#This Row],[Egreso Total]]*TablaEgreso[[#This Row],[% de Crédito Fiscal]]</f>
        <v>0</v>
      </c>
      <c r="K234" s="146">
        <v>0</v>
      </c>
    </row>
    <row r="235" spans="2:11" ht="20.100000000000001" customHeight="1" x14ac:dyDescent="0.25">
      <c r="B235" s="140">
        <v>45638</v>
      </c>
      <c r="C235" s="127" t="str">
        <f>IF(Egresos!$B235="","",TEXT(Egresos!$B235,"MMMM" ))</f>
        <v>diciembre</v>
      </c>
      <c r="D235" s="16" t="s">
        <v>146</v>
      </c>
      <c r="E235" s="17" t="s">
        <v>200</v>
      </c>
      <c r="F235" s="16" t="s">
        <v>13</v>
      </c>
      <c r="G235" s="35">
        <f>TablaEgreso[[#This Row],[Egreso Total]]-TablaEgreso[[#This Row],[Total Crédito Fiscal]]</f>
        <v>180570</v>
      </c>
      <c r="H235" s="16"/>
      <c r="I235" s="31">
        <f>IF(TablaEgreso[[#This Row],[Crédito Fiscal]]="Si",Configuración!$B$26,0)</f>
        <v>0</v>
      </c>
      <c r="J235" s="32">
        <f>TablaEgreso[[#This Row],[Egreso Total]]*TablaEgreso[[#This Row],[% de Crédito Fiscal]]</f>
        <v>0</v>
      </c>
      <c r="K235" s="146">
        <v>180570</v>
      </c>
    </row>
    <row r="236" spans="2:11" ht="20.100000000000001" customHeight="1" x14ac:dyDescent="0.25">
      <c r="B236" s="140">
        <v>45638</v>
      </c>
      <c r="C236" s="127" t="str">
        <f>IF(Egresos!$B236="","",TEXT(Egresos!$B236,"MMMM" ))</f>
        <v>diciembre</v>
      </c>
      <c r="D236" s="16" t="s">
        <v>113</v>
      </c>
      <c r="E236" s="17" t="s">
        <v>347</v>
      </c>
      <c r="F236" s="16" t="s">
        <v>121</v>
      </c>
      <c r="G236" s="35">
        <f>TablaEgreso[[#This Row],[Egreso Total]]-TablaEgreso[[#This Row],[Total Crédito Fiscal]]</f>
        <v>0</v>
      </c>
      <c r="H236" s="16"/>
      <c r="I236" s="31">
        <f>IF(TablaEgreso[[#This Row],[Crédito Fiscal]]="Si",Configuración!$B$26,0)</f>
        <v>0</v>
      </c>
      <c r="J236" s="32">
        <f>TablaEgreso[[#This Row],[Egreso Total]]*TablaEgreso[[#This Row],[% de Crédito Fiscal]]</f>
        <v>0</v>
      </c>
      <c r="K236" s="146">
        <v>0</v>
      </c>
    </row>
    <row r="237" spans="2:11" ht="20.100000000000001" customHeight="1" x14ac:dyDescent="0.25">
      <c r="B237" s="140">
        <v>45638</v>
      </c>
      <c r="C237" s="127" t="str">
        <f>IF(Egresos!$B237="","",TEXT(Egresos!$B237,"MMMM" ))</f>
        <v>diciembre</v>
      </c>
      <c r="D237" s="16" t="s">
        <v>113</v>
      </c>
      <c r="E237" s="17" t="s">
        <v>349</v>
      </c>
      <c r="F237" s="16" t="s">
        <v>121</v>
      </c>
      <c r="G237" s="35">
        <f>TablaEgreso[[#This Row],[Egreso Total]]-TablaEgreso[[#This Row],[Total Crédito Fiscal]]</f>
        <v>0</v>
      </c>
      <c r="H237" s="16"/>
      <c r="I237" s="31">
        <f>IF(TablaEgreso[[#This Row],[Crédito Fiscal]]="Si",Configuración!$B$26,0)</f>
        <v>0</v>
      </c>
      <c r="J237" s="32">
        <f>TablaEgreso[[#This Row],[Egreso Total]]*TablaEgreso[[#This Row],[% de Crédito Fiscal]]</f>
        <v>0</v>
      </c>
      <c r="K237" s="146">
        <v>0</v>
      </c>
    </row>
    <row r="238" spans="2:11" ht="20.100000000000001" customHeight="1" x14ac:dyDescent="0.25">
      <c r="B238" s="140">
        <v>45638</v>
      </c>
      <c r="C238" s="127" t="str">
        <f>IF(Egresos!$B238="","",TEXT(Egresos!$B238,"MMMM" ))</f>
        <v>diciembre</v>
      </c>
      <c r="D238" s="16" t="s">
        <v>113</v>
      </c>
      <c r="E238" s="17" t="s">
        <v>350</v>
      </c>
      <c r="F238" s="16" t="s">
        <v>13</v>
      </c>
      <c r="G238" s="35">
        <f>TablaEgreso[[#This Row],[Egreso Total]]-TablaEgreso[[#This Row],[Total Crédito Fiscal]]</f>
        <v>43234.43</v>
      </c>
      <c r="H238" s="16"/>
      <c r="I238" s="31">
        <f>IF(TablaEgreso[[#This Row],[Crédito Fiscal]]="Si",Configuración!$B$26,0)</f>
        <v>0</v>
      </c>
      <c r="J238" s="32">
        <f>TablaEgreso[[#This Row],[Egreso Total]]*TablaEgreso[[#This Row],[% de Crédito Fiscal]]</f>
        <v>0</v>
      </c>
      <c r="K238" s="146">
        <v>43234.43</v>
      </c>
    </row>
    <row r="239" spans="2:11" ht="20.100000000000001" customHeight="1" x14ac:dyDescent="0.25">
      <c r="B239" s="140">
        <v>45638</v>
      </c>
      <c r="C239" s="127" t="str">
        <f>IF(Egresos!$B239="","",TEXT(Egresos!$B239,"MMMM" ))</f>
        <v>diciembre</v>
      </c>
      <c r="D239" s="16" t="s">
        <v>113</v>
      </c>
      <c r="E239" s="17" t="s">
        <v>351</v>
      </c>
      <c r="F239" s="16" t="s">
        <v>13</v>
      </c>
      <c r="G239" s="35">
        <f>TablaEgreso[[#This Row],[Egreso Total]]-TablaEgreso[[#This Row],[Total Crédito Fiscal]]</f>
        <v>23324</v>
      </c>
      <c r="H239" s="16"/>
      <c r="I239" s="31">
        <f>IF(TablaEgreso[[#This Row],[Crédito Fiscal]]="Si",Configuración!$B$26,0)</f>
        <v>0</v>
      </c>
      <c r="J239" s="32">
        <f>TablaEgreso[[#This Row],[Egreso Total]]*TablaEgreso[[#This Row],[% de Crédito Fiscal]]</f>
        <v>0</v>
      </c>
      <c r="K239" s="146">
        <v>23324</v>
      </c>
    </row>
    <row r="240" spans="2:11" ht="20.100000000000001" customHeight="1" x14ac:dyDescent="0.25">
      <c r="B240" s="140">
        <v>45637</v>
      </c>
      <c r="C240" s="127" t="str">
        <f>IF(Egresos!$B240="","",TEXT(Egresos!$B240,"MMMM" ))</f>
        <v>diciembre</v>
      </c>
      <c r="D240" s="16" t="s">
        <v>107</v>
      </c>
      <c r="E240" s="17" t="s">
        <v>352</v>
      </c>
      <c r="F240" s="16" t="s">
        <v>13</v>
      </c>
      <c r="G240" s="35">
        <f>TablaEgreso[[#This Row],[Egreso Total]]-TablaEgreso[[#This Row],[Total Crédito Fiscal]]</f>
        <v>57110.34</v>
      </c>
      <c r="H240" s="16"/>
      <c r="I240" s="31">
        <f>IF(TablaEgreso[[#This Row],[Crédito Fiscal]]="Si",Configuración!$B$26,0)</f>
        <v>0</v>
      </c>
      <c r="J240" s="32">
        <f>TablaEgreso[[#This Row],[Egreso Total]]*TablaEgreso[[#This Row],[% de Crédito Fiscal]]</f>
        <v>0</v>
      </c>
      <c r="K240" s="146">
        <v>57110.34</v>
      </c>
    </row>
    <row r="241" spans="2:11" ht="20.100000000000001" customHeight="1" x14ac:dyDescent="0.25">
      <c r="B241" s="140">
        <v>45639</v>
      </c>
      <c r="C241" s="127" t="str">
        <f>IF(Egresos!$B241="","",TEXT(Egresos!$B241,"MMMM" ))</f>
        <v>diciembre</v>
      </c>
      <c r="D241" s="16" t="s">
        <v>113</v>
      </c>
      <c r="E241" s="17" t="s">
        <v>428</v>
      </c>
      <c r="F241" s="16" t="s">
        <v>121</v>
      </c>
      <c r="G241" s="35">
        <f>TablaEgreso[[#This Row],[Egreso Total]]-TablaEgreso[[#This Row],[Total Crédito Fiscal]]</f>
        <v>204988</v>
      </c>
      <c r="H241" s="16"/>
      <c r="I241" s="31">
        <f>IF(TablaEgreso[[#This Row],[Crédito Fiscal]]="Si",Configuración!$B$26,0)</f>
        <v>0</v>
      </c>
      <c r="J241" s="32">
        <f>TablaEgreso[[#This Row],[Egreso Total]]*TablaEgreso[[#This Row],[% de Crédito Fiscal]]</f>
        <v>0</v>
      </c>
      <c r="K241" s="146">
        <v>204988</v>
      </c>
    </row>
    <row r="242" spans="2:11" ht="20.100000000000001" customHeight="1" x14ac:dyDescent="0.25">
      <c r="B242" s="140">
        <v>45630</v>
      </c>
      <c r="C242" s="127" t="str">
        <f>IF(Egresos!$B40="","",TEXT(Egresos!$B40,"MMMM" ))</f>
        <v>diciembre</v>
      </c>
      <c r="D242" s="16" t="s">
        <v>9</v>
      </c>
      <c r="E242" s="17" t="s">
        <v>178</v>
      </c>
      <c r="F242" s="16" t="s">
        <v>119</v>
      </c>
      <c r="G242" s="35">
        <f>TablaEgreso[[#This Row],[Egreso Total]]-TablaEgreso[[#This Row],[Total Crédito Fiscal]]</f>
        <v>36000</v>
      </c>
      <c r="H242" s="16"/>
      <c r="I242" s="31">
        <f>IF(TablaEgreso[[#This Row],[Crédito Fiscal]]="Si",Configuración!$B$26,0)</f>
        <v>0</v>
      </c>
      <c r="J242" s="32">
        <f>TablaEgreso[[#This Row],[Egreso Total]]*TablaEgreso[[#This Row],[% de Crédito Fiscal]]</f>
        <v>0</v>
      </c>
      <c r="K242" s="146">
        <v>36000</v>
      </c>
    </row>
    <row r="243" spans="2:11" ht="20.100000000000001" customHeight="1" x14ac:dyDescent="0.25">
      <c r="B243" s="140">
        <v>45638</v>
      </c>
      <c r="C243" s="127" t="str">
        <f>IF(Egresos!$B242="","",TEXT(Egresos!$B242,"MMMM" ))</f>
        <v>diciembre</v>
      </c>
      <c r="D243" s="16" t="s">
        <v>113</v>
      </c>
      <c r="E243" s="17" t="s">
        <v>353</v>
      </c>
      <c r="F243" s="16" t="s">
        <v>121</v>
      </c>
      <c r="G243" s="35">
        <f>TablaEgreso[[#This Row],[Egreso Total]]-TablaEgreso[[#This Row],[Total Crédito Fiscal]]</f>
        <v>0</v>
      </c>
      <c r="H243" s="16"/>
      <c r="I243" s="31">
        <f>IF(TablaEgreso[[#This Row],[Crédito Fiscal]]="Si",Configuración!$B$26,0)</f>
        <v>0</v>
      </c>
      <c r="J243" s="32">
        <f>TablaEgreso[[#This Row],[Egreso Total]]*TablaEgreso[[#This Row],[% de Crédito Fiscal]]</f>
        <v>0</v>
      </c>
      <c r="K243" s="146">
        <v>0</v>
      </c>
    </row>
    <row r="244" spans="2:11" ht="20.100000000000001" customHeight="1" x14ac:dyDescent="0.25">
      <c r="B244" s="140">
        <v>45637</v>
      </c>
      <c r="C244" s="127" t="str">
        <f>IF(Egresos!$B205="","",TEXT(Egresos!$B205,"MMMM" ))</f>
        <v>diciembre</v>
      </c>
      <c r="D244" s="16" t="s">
        <v>109</v>
      </c>
      <c r="E244" s="17" t="s">
        <v>321</v>
      </c>
      <c r="F244" s="16" t="s">
        <v>119</v>
      </c>
      <c r="G244" s="35">
        <f>TablaEgreso[[#This Row],[Egreso Total]]-TablaEgreso[[#This Row],[Total Crédito Fiscal]]</f>
        <v>9900</v>
      </c>
      <c r="H244" s="16"/>
      <c r="I244" s="31">
        <f>IF(TablaEgreso[[#This Row],[Crédito Fiscal]]="Si",Configuración!$B$26,0)</f>
        <v>0</v>
      </c>
      <c r="J244" s="32">
        <f>TablaEgreso[[#This Row],[Egreso Total]]*TablaEgreso[[#This Row],[% de Crédito Fiscal]]</f>
        <v>0</v>
      </c>
      <c r="K244" s="146">
        <v>9900</v>
      </c>
    </row>
    <row r="245" spans="2:11" ht="20.100000000000001" customHeight="1" x14ac:dyDescent="0.25">
      <c r="B245" s="140">
        <v>45643</v>
      </c>
      <c r="C245" s="127" t="str">
        <f>IF(Egresos!$B310="","",TEXT(Egresos!$B310,"MMMM" ))</f>
        <v>diciembre</v>
      </c>
      <c r="D245" s="16" t="s">
        <v>112</v>
      </c>
      <c r="E245" s="17" t="s">
        <v>401</v>
      </c>
      <c r="F245" s="16" t="s">
        <v>119</v>
      </c>
      <c r="G245" s="35">
        <f>TablaEgreso[[#This Row],[Egreso Total]]-TablaEgreso[[#This Row],[Total Crédito Fiscal]]</f>
        <v>5000</v>
      </c>
      <c r="H245" s="16"/>
      <c r="I245" s="31">
        <f>IF(TablaEgreso[[#This Row],[Crédito Fiscal]]="Si",Configuración!$B$26,0)</f>
        <v>0</v>
      </c>
      <c r="J245" s="32">
        <f>TablaEgreso[[#This Row],[Egreso Total]]*TablaEgreso[[#This Row],[% de Crédito Fiscal]]</f>
        <v>0</v>
      </c>
      <c r="K245" s="146">
        <v>5000</v>
      </c>
    </row>
    <row r="246" spans="2:11" ht="20.100000000000001" customHeight="1" x14ac:dyDescent="0.25">
      <c r="B246" s="140">
        <v>45628</v>
      </c>
      <c r="C246" s="127" t="str">
        <f>IF(Egresos!$B59="","",TEXT(Egresos!$B59,"MMMM" ))</f>
        <v>diciembre</v>
      </c>
      <c r="D246" s="16" t="s">
        <v>113</v>
      </c>
      <c r="E246" s="17" t="s">
        <v>196</v>
      </c>
      <c r="F246" s="16" t="s">
        <v>13</v>
      </c>
      <c r="G246" s="35">
        <f>TablaEgreso[[#This Row],[Egreso Total]]-TablaEgreso[[#This Row],[Total Crédito Fiscal]]</f>
        <v>235342.52</v>
      </c>
      <c r="H246" s="16"/>
      <c r="I246" s="31">
        <f>IF(TablaEgreso[[#This Row],[Crédito Fiscal]]="Si",Configuración!$B$26,0)</f>
        <v>0</v>
      </c>
      <c r="J246" s="32">
        <f>TablaEgreso[[#This Row],[Egreso Total]]*TablaEgreso[[#This Row],[% de Crédito Fiscal]]</f>
        <v>0</v>
      </c>
      <c r="K246" s="146">
        <v>235342.52</v>
      </c>
    </row>
    <row r="247" spans="2:11" ht="20.100000000000001" customHeight="1" x14ac:dyDescent="0.25">
      <c r="B247" s="140">
        <v>45637</v>
      </c>
      <c r="C247" s="127" t="str">
        <f>IF(Egresos!$B203="","",TEXT(Egresos!$B203,"MMMM" ))</f>
        <v>diciembre</v>
      </c>
      <c r="D247" s="16" t="s">
        <v>113</v>
      </c>
      <c r="E247" s="17" t="s">
        <v>322</v>
      </c>
      <c r="F247" s="16" t="s">
        <v>119</v>
      </c>
      <c r="G247" s="35">
        <f>TablaEgreso[[#This Row],[Egreso Total]]-TablaEgreso[[#This Row],[Total Crédito Fiscal]]</f>
        <v>3000</v>
      </c>
      <c r="H247" s="16"/>
      <c r="I247" s="31">
        <f>IF(TablaEgreso[[#This Row],[Crédito Fiscal]]="Si",Configuración!$B$26,0)</f>
        <v>0</v>
      </c>
      <c r="J247" s="32">
        <f>TablaEgreso[[#This Row],[Egreso Total]]*TablaEgreso[[#This Row],[% de Crédito Fiscal]]</f>
        <v>0</v>
      </c>
      <c r="K247" s="146">
        <v>3000</v>
      </c>
    </row>
    <row r="248" spans="2:11" ht="20.100000000000001" customHeight="1" x14ac:dyDescent="0.25">
      <c r="B248" s="140">
        <v>45639</v>
      </c>
      <c r="C248" s="127" t="str">
        <f>IF(Egresos!$B267="","",TEXT(Egresos!$B267,"MMMM" ))</f>
        <v>diciembre</v>
      </c>
      <c r="D248" s="16" t="s">
        <v>112</v>
      </c>
      <c r="E248" s="17" t="s">
        <v>372</v>
      </c>
      <c r="F248" s="16" t="s">
        <v>119</v>
      </c>
      <c r="G248" s="35">
        <f>TablaEgreso[[#This Row],[Egreso Total]]-TablaEgreso[[#This Row],[Total Crédito Fiscal]]</f>
        <v>10000</v>
      </c>
      <c r="H248" s="16"/>
      <c r="I248" s="31">
        <f>IF(TablaEgreso[[#This Row],[Crédito Fiscal]]="Si",Configuración!$B$26,0)</f>
        <v>0</v>
      </c>
      <c r="J248" s="32">
        <f>TablaEgreso[[#This Row],[Egreso Total]]*TablaEgreso[[#This Row],[% de Crédito Fiscal]]</f>
        <v>0</v>
      </c>
      <c r="K248" s="146">
        <v>10000</v>
      </c>
    </row>
    <row r="249" spans="2:11" ht="20.100000000000001" customHeight="1" x14ac:dyDescent="0.25">
      <c r="B249" s="140">
        <v>45638</v>
      </c>
      <c r="C249" s="127" t="str">
        <f>IF(Egresos!$B249="","",TEXT(Egresos!$B249,"MMMM" ))</f>
        <v>diciembre</v>
      </c>
      <c r="D249" s="16" t="s">
        <v>113</v>
      </c>
      <c r="E249" s="17" t="s">
        <v>358</v>
      </c>
      <c r="F249" s="16" t="s">
        <v>13</v>
      </c>
      <c r="G249" s="35">
        <f>TablaEgreso[[#This Row],[Egreso Total]]-TablaEgreso[[#This Row],[Total Crédito Fiscal]]</f>
        <v>39402.959999999999</v>
      </c>
      <c r="H249" s="16"/>
      <c r="I249" s="31">
        <f>IF(TablaEgreso[[#This Row],[Crédito Fiscal]]="Si",Configuración!$B$26,0)</f>
        <v>0</v>
      </c>
      <c r="J249" s="32">
        <f>TablaEgreso[[#This Row],[Egreso Total]]*TablaEgreso[[#This Row],[% de Crédito Fiscal]]</f>
        <v>0</v>
      </c>
      <c r="K249" s="146">
        <v>39402.959999999999</v>
      </c>
    </row>
    <row r="250" spans="2:11" ht="20.100000000000001" customHeight="1" x14ac:dyDescent="0.25">
      <c r="B250" s="140">
        <v>45638</v>
      </c>
      <c r="C250" s="127" t="str">
        <f>IF(Egresos!$B250="","",TEXT(Egresos!$B250,"MMMM" ))</f>
        <v>diciembre</v>
      </c>
      <c r="D250" s="16" t="s">
        <v>113</v>
      </c>
      <c r="E250" s="17" t="s">
        <v>359</v>
      </c>
      <c r="F250" s="16" t="s">
        <v>13</v>
      </c>
      <c r="G250" s="35">
        <f>TablaEgreso[[#This Row],[Egreso Total]]-TablaEgreso[[#This Row],[Total Crédito Fiscal]]</f>
        <v>38868.879999999997</v>
      </c>
      <c r="H250" s="16"/>
      <c r="I250" s="31">
        <f>IF(TablaEgreso[[#This Row],[Crédito Fiscal]]="Si",Configuración!$B$26,0)</f>
        <v>0</v>
      </c>
      <c r="J250" s="32">
        <f>TablaEgreso[[#This Row],[Egreso Total]]*TablaEgreso[[#This Row],[% de Crédito Fiscal]]</f>
        <v>0</v>
      </c>
      <c r="K250" s="146">
        <v>38868.879999999997</v>
      </c>
    </row>
    <row r="251" spans="2:11" ht="20.100000000000001" customHeight="1" x14ac:dyDescent="0.25">
      <c r="B251" s="140">
        <v>45638</v>
      </c>
      <c r="C251" s="127" t="str">
        <f>IF(Egresos!$B251="","",TEXT(Egresos!$B251,"MMMM" ))</f>
        <v>diciembre</v>
      </c>
      <c r="D251" s="16" t="s">
        <v>100</v>
      </c>
      <c r="E251" s="17" t="s">
        <v>360</v>
      </c>
      <c r="F251" s="16" t="s">
        <v>12</v>
      </c>
      <c r="G251" s="35">
        <f>TablaEgreso[[#This Row],[Egreso Total]]-TablaEgreso[[#This Row],[Total Crédito Fiscal]]</f>
        <v>2600000</v>
      </c>
      <c r="H251" s="16"/>
      <c r="I251" s="31">
        <f>IF(TablaEgreso[[#This Row],[Crédito Fiscal]]="Si",Configuración!$B$26,0)</f>
        <v>0</v>
      </c>
      <c r="J251" s="32">
        <f>TablaEgreso[[#This Row],[Egreso Total]]*TablaEgreso[[#This Row],[% de Crédito Fiscal]]</f>
        <v>0</v>
      </c>
      <c r="K251" s="146">
        <v>2600000</v>
      </c>
    </row>
    <row r="252" spans="2:11" ht="20.100000000000001" customHeight="1" x14ac:dyDescent="0.25">
      <c r="B252" s="140">
        <v>45638</v>
      </c>
      <c r="C252" s="127" t="str">
        <f>IF(Egresos!$B252="","",TEXT(Egresos!$B252,"MMMM" ))</f>
        <v>diciembre</v>
      </c>
      <c r="D252" s="16" t="s">
        <v>100</v>
      </c>
      <c r="E252" s="17" t="s">
        <v>361</v>
      </c>
      <c r="F252" s="16" t="s">
        <v>12</v>
      </c>
      <c r="G252" s="35">
        <f>TablaEgreso[[#This Row],[Egreso Total]]-TablaEgreso[[#This Row],[Total Crédito Fiscal]]</f>
        <v>812500</v>
      </c>
      <c r="H252" s="16"/>
      <c r="I252" s="31">
        <f>IF(TablaEgreso[[#This Row],[Crédito Fiscal]]="Si",Configuración!$B$26,0)</f>
        <v>0</v>
      </c>
      <c r="J252" s="32">
        <f>TablaEgreso[[#This Row],[Egreso Total]]*TablaEgreso[[#This Row],[% de Crédito Fiscal]]</f>
        <v>0</v>
      </c>
      <c r="K252" s="146">
        <v>812500</v>
      </c>
    </row>
    <row r="253" spans="2:11" ht="20.100000000000001" customHeight="1" x14ac:dyDescent="0.25">
      <c r="B253" s="140">
        <v>45642</v>
      </c>
      <c r="C253" s="127" t="str">
        <f>IF(Egresos!$B253="","",TEXT(Egresos!$B253,"MMMM" ))</f>
        <v>diciembre</v>
      </c>
      <c r="D253" s="16" t="s">
        <v>113</v>
      </c>
      <c r="E253" s="17" t="s">
        <v>419</v>
      </c>
      <c r="F253" s="16" t="s">
        <v>121</v>
      </c>
      <c r="G253" s="35">
        <f>TablaEgreso[[#This Row],[Egreso Total]]-TablaEgreso[[#This Row],[Total Crédito Fiscal]]</f>
        <v>104519.8</v>
      </c>
      <c r="H253" s="16"/>
      <c r="I253" s="31">
        <f>IF(TablaEgreso[[#This Row],[Crédito Fiscal]]="Si",Configuración!$B$26,0)</f>
        <v>0</v>
      </c>
      <c r="J253" s="32">
        <f>TablaEgreso[[#This Row],[Egreso Total]]*TablaEgreso[[#This Row],[% de Crédito Fiscal]]</f>
        <v>0</v>
      </c>
      <c r="K253" s="146">
        <v>104519.8</v>
      </c>
    </row>
    <row r="254" spans="2:11" ht="20.100000000000001" customHeight="1" x14ac:dyDescent="0.25">
      <c r="B254" s="140">
        <v>45642</v>
      </c>
      <c r="C254" s="127" t="str">
        <f>IF(Egresos!$B254="","",TEXT(Egresos!$B254,"MMMM" ))</f>
        <v>diciembre</v>
      </c>
      <c r="D254" s="16" t="s">
        <v>113</v>
      </c>
      <c r="E254" s="17" t="s">
        <v>420</v>
      </c>
      <c r="F254" s="16" t="s">
        <v>121</v>
      </c>
      <c r="G254" s="35">
        <f>TablaEgreso[[#This Row],[Egreso Total]]-TablaEgreso[[#This Row],[Total Crédito Fiscal]]</f>
        <v>39058.800000000003</v>
      </c>
      <c r="H254" s="16"/>
      <c r="I254" s="31">
        <f>IF(TablaEgreso[[#This Row],[Crédito Fiscal]]="Si",Configuración!$B$26,0)</f>
        <v>0</v>
      </c>
      <c r="J254" s="32">
        <f>TablaEgreso[[#This Row],[Egreso Total]]*TablaEgreso[[#This Row],[% de Crédito Fiscal]]</f>
        <v>0</v>
      </c>
      <c r="K254" s="146">
        <v>39058.800000000003</v>
      </c>
    </row>
    <row r="255" spans="2:11" ht="20.100000000000001" customHeight="1" x14ac:dyDescent="0.25">
      <c r="B255" s="140">
        <v>45639</v>
      </c>
      <c r="C255" s="127" t="str">
        <f>IF(Egresos!$B269="","",TEXT(Egresos!$B269,"MMMM" ))</f>
        <v>diciembre</v>
      </c>
      <c r="D255" s="16" t="s">
        <v>112</v>
      </c>
      <c r="E255" s="17" t="s">
        <v>374</v>
      </c>
      <c r="F255" s="16" t="s">
        <v>119</v>
      </c>
      <c r="G255" s="35">
        <f>TablaEgreso[[#This Row],[Egreso Total]]-TablaEgreso[[#This Row],[Total Crédito Fiscal]]</f>
        <v>108600</v>
      </c>
      <c r="H255" s="16"/>
      <c r="I255" s="31">
        <f>IF(TablaEgreso[[#This Row],[Crédito Fiscal]]="Si",Configuración!$B$26,0)</f>
        <v>0</v>
      </c>
      <c r="J255" s="32">
        <f>TablaEgreso[[#This Row],[Egreso Total]]*TablaEgreso[[#This Row],[% de Crédito Fiscal]]</f>
        <v>0</v>
      </c>
      <c r="K255" s="146">
        <v>108600</v>
      </c>
    </row>
    <row r="256" spans="2:11" ht="20.100000000000001" customHeight="1" x14ac:dyDescent="0.25">
      <c r="B256" s="140">
        <v>45639</v>
      </c>
      <c r="C256" s="127" t="str">
        <f>IF(Egresos!$B256="","",TEXT(Egresos!$B256,"MMMM" ))</f>
        <v>diciembre</v>
      </c>
      <c r="D256" s="16" t="s">
        <v>103</v>
      </c>
      <c r="E256" s="17" t="s">
        <v>240</v>
      </c>
      <c r="F256" s="16" t="s">
        <v>13</v>
      </c>
      <c r="G256" s="35">
        <f>TablaEgreso[[#This Row],[Egreso Total]]-TablaEgreso[[#This Row],[Total Crédito Fiscal]]</f>
        <v>109757.05</v>
      </c>
      <c r="H256" s="16"/>
      <c r="I256" s="31">
        <f>IF(TablaEgreso[[#This Row],[Crédito Fiscal]]="Si",Configuración!$B$26,0)</f>
        <v>0</v>
      </c>
      <c r="J256" s="32">
        <f>TablaEgreso[[#This Row],[Egreso Total]]*TablaEgreso[[#This Row],[% de Crédito Fiscal]]</f>
        <v>0</v>
      </c>
      <c r="K256" s="146">
        <v>109757.05</v>
      </c>
    </row>
    <row r="257" spans="2:11" ht="20.100000000000001" customHeight="1" x14ac:dyDescent="0.25">
      <c r="B257" s="140">
        <v>45639</v>
      </c>
      <c r="C257" s="127" t="str">
        <f>IF(Egresos!$B257="","",TEXT(Egresos!$B257,"MMMM" ))</f>
        <v>diciembre</v>
      </c>
      <c r="D257" s="16" t="s">
        <v>103</v>
      </c>
      <c r="E257" s="17" t="s">
        <v>207</v>
      </c>
      <c r="F257" s="16" t="s">
        <v>13</v>
      </c>
      <c r="G257" s="35">
        <f>TablaEgreso[[#This Row],[Egreso Total]]-TablaEgreso[[#This Row],[Total Crédito Fiscal]]</f>
        <v>10061.9</v>
      </c>
      <c r="H257" s="16"/>
      <c r="I257" s="31">
        <f>IF(TablaEgreso[[#This Row],[Crédito Fiscal]]="Si",Configuración!$B$26,0)</f>
        <v>0</v>
      </c>
      <c r="J257" s="32">
        <f>TablaEgreso[[#This Row],[Egreso Total]]*TablaEgreso[[#This Row],[% de Crédito Fiscal]]</f>
        <v>0</v>
      </c>
      <c r="K257" s="146">
        <v>10061.9</v>
      </c>
    </row>
    <row r="258" spans="2:11" ht="20.100000000000001" customHeight="1" x14ac:dyDescent="0.25">
      <c r="B258" s="140">
        <v>45641</v>
      </c>
      <c r="C258" s="127" t="str">
        <f>IF(Egresos!$B258="","",TEXT(Egresos!$B258,"MMMM" ))</f>
        <v>diciembre</v>
      </c>
      <c r="D258" s="16" t="s">
        <v>146</v>
      </c>
      <c r="E258" s="17" t="s">
        <v>200</v>
      </c>
      <c r="F258" s="16" t="s">
        <v>13</v>
      </c>
      <c r="G258" s="35">
        <f>TablaEgreso[[#This Row],[Egreso Total]]-TablaEgreso[[#This Row],[Total Crédito Fiscal]]</f>
        <v>187515</v>
      </c>
      <c r="H258" s="16"/>
      <c r="I258" s="31">
        <f>IF(TablaEgreso[[#This Row],[Crédito Fiscal]]="Si",Configuración!$B$26,0)</f>
        <v>0</v>
      </c>
      <c r="J258" s="32">
        <f>TablaEgreso[[#This Row],[Egreso Total]]*TablaEgreso[[#This Row],[% de Crédito Fiscal]]</f>
        <v>0</v>
      </c>
      <c r="K258" s="146">
        <v>187515</v>
      </c>
    </row>
    <row r="259" spans="2:11" ht="20.100000000000001" customHeight="1" x14ac:dyDescent="0.25">
      <c r="B259" s="140">
        <v>45640</v>
      </c>
      <c r="C259" s="127" t="str">
        <f>IF(Egresos!$B259="","",TEXT(Egresos!$B259,"MMMM" ))</f>
        <v>diciembre</v>
      </c>
      <c r="D259" s="16" t="s">
        <v>100</v>
      </c>
      <c r="E259" s="17" t="s">
        <v>363</v>
      </c>
      <c r="F259" s="16" t="s">
        <v>13</v>
      </c>
      <c r="G259" s="35">
        <f>TablaEgreso[[#This Row],[Egreso Total]]-TablaEgreso[[#This Row],[Total Crédito Fiscal]]</f>
        <v>1000000</v>
      </c>
      <c r="H259" s="16"/>
      <c r="I259" s="31">
        <f>IF(TablaEgreso[[#This Row],[Crédito Fiscal]]="Si",Configuración!$B$26,0)</f>
        <v>0</v>
      </c>
      <c r="J259" s="32">
        <f>TablaEgreso[[#This Row],[Egreso Total]]*TablaEgreso[[#This Row],[% de Crédito Fiscal]]</f>
        <v>0</v>
      </c>
      <c r="K259" s="146">
        <v>1000000</v>
      </c>
    </row>
    <row r="260" spans="2:11" ht="20.100000000000001" customHeight="1" x14ac:dyDescent="0.25">
      <c r="B260" s="140">
        <v>45639</v>
      </c>
      <c r="C260" s="127" t="str">
        <f>IF(Egresos!$B260="","",TEXT(Egresos!$B260,"MMMM" ))</f>
        <v>diciembre</v>
      </c>
      <c r="D260" s="16" t="s">
        <v>113</v>
      </c>
      <c r="E260" s="17" t="s">
        <v>364</v>
      </c>
      <c r="F260" s="16" t="s">
        <v>118</v>
      </c>
      <c r="G260" s="35">
        <f>TablaEgreso[[#This Row],[Egreso Total]]-TablaEgreso[[#This Row],[Total Crédito Fiscal]]</f>
        <v>60000</v>
      </c>
      <c r="H260" s="16"/>
      <c r="I260" s="31">
        <f>IF(TablaEgreso[[#This Row],[Crédito Fiscal]]="Si",Configuración!$B$26,0)</f>
        <v>0</v>
      </c>
      <c r="J260" s="32">
        <f>TablaEgreso[[#This Row],[Egreso Total]]*TablaEgreso[[#This Row],[% de Crédito Fiscal]]</f>
        <v>0</v>
      </c>
      <c r="K260" s="146">
        <v>60000</v>
      </c>
    </row>
    <row r="261" spans="2:11" ht="20.100000000000001" customHeight="1" x14ac:dyDescent="0.25">
      <c r="B261" s="140">
        <v>45639</v>
      </c>
      <c r="C261" s="127" t="str">
        <f>IF(Egresos!$B261="","",TEXT(Egresos!$B261,"MMMM" ))</f>
        <v>diciembre</v>
      </c>
      <c r="D261" s="16" t="s">
        <v>113</v>
      </c>
      <c r="E261" s="17" t="s">
        <v>365</v>
      </c>
      <c r="F261" s="16" t="s">
        <v>118</v>
      </c>
      <c r="G261" s="35">
        <f>TablaEgreso[[#This Row],[Egreso Total]]-TablaEgreso[[#This Row],[Total Crédito Fiscal]]</f>
        <v>73400</v>
      </c>
      <c r="H261" s="16"/>
      <c r="I261" s="31">
        <f>IF(TablaEgreso[[#This Row],[Crédito Fiscal]]="Si",Configuración!$B$26,0)</f>
        <v>0</v>
      </c>
      <c r="J261" s="32">
        <f>TablaEgreso[[#This Row],[Egreso Total]]*TablaEgreso[[#This Row],[% de Crédito Fiscal]]</f>
        <v>0</v>
      </c>
      <c r="K261" s="146">
        <v>73400</v>
      </c>
    </row>
    <row r="262" spans="2:11" ht="20.100000000000001" customHeight="1" x14ac:dyDescent="0.25">
      <c r="B262" s="140">
        <v>45639</v>
      </c>
      <c r="C262" s="127" t="str">
        <f>IF(Egresos!$B262="","",TEXT(Egresos!$B262,"MMMM" ))</f>
        <v>diciembre</v>
      </c>
      <c r="D262" s="16" t="s">
        <v>114</v>
      </c>
      <c r="E262" s="17" t="s">
        <v>367</v>
      </c>
      <c r="F262" s="16" t="s">
        <v>118</v>
      </c>
      <c r="G262" s="35">
        <f>TablaEgreso[[#This Row],[Egreso Total]]-TablaEgreso[[#This Row],[Total Crédito Fiscal]]</f>
        <v>0</v>
      </c>
      <c r="H262" s="16"/>
      <c r="I262" s="31">
        <f>IF(TablaEgreso[[#This Row],[Crédito Fiscal]]="Si",Configuración!$B$26,0)</f>
        <v>0</v>
      </c>
      <c r="J262" s="32">
        <f>TablaEgreso[[#This Row],[Egreso Total]]*TablaEgreso[[#This Row],[% de Crédito Fiscal]]</f>
        <v>0</v>
      </c>
      <c r="K262" s="146">
        <v>0</v>
      </c>
    </row>
    <row r="263" spans="2:11" ht="20.100000000000001" customHeight="1" x14ac:dyDescent="0.25">
      <c r="B263" s="140">
        <v>45641</v>
      </c>
      <c r="C263" s="127" t="str">
        <f>IF(Egresos!$B263="","",TEXT(Egresos!$B263,"MMMM" ))</f>
        <v>diciembre</v>
      </c>
      <c r="D263" s="16" t="s">
        <v>114</v>
      </c>
      <c r="E263" s="17" t="s">
        <v>368</v>
      </c>
      <c r="F263" s="16" t="s">
        <v>118</v>
      </c>
      <c r="G263" s="35">
        <f>TablaEgreso[[#This Row],[Egreso Total]]-TablaEgreso[[#This Row],[Total Crédito Fiscal]]</f>
        <v>0</v>
      </c>
      <c r="H263" s="16"/>
      <c r="I263" s="31">
        <f>IF(TablaEgreso[[#This Row],[Crédito Fiscal]]="Si",Configuración!$B$26,0)</f>
        <v>0</v>
      </c>
      <c r="J263" s="32">
        <f>TablaEgreso[[#This Row],[Egreso Total]]*TablaEgreso[[#This Row],[% de Crédito Fiscal]]</f>
        <v>0</v>
      </c>
      <c r="K263" s="146">
        <v>0</v>
      </c>
    </row>
    <row r="264" spans="2:11" ht="20.100000000000001" customHeight="1" x14ac:dyDescent="0.25">
      <c r="B264" s="140">
        <v>45641</v>
      </c>
      <c r="C264" s="127" t="str">
        <f>IF(Egresos!$B264="","",TEXT(Egresos!$B264,"MMMM" ))</f>
        <v>diciembre</v>
      </c>
      <c r="D264" s="16" t="s">
        <v>19</v>
      </c>
      <c r="E264" s="17" t="s">
        <v>369</v>
      </c>
      <c r="F264" s="16" t="s">
        <v>118</v>
      </c>
      <c r="G264" s="35">
        <f>TablaEgreso[[#This Row],[Egreso Total]]-TablaEgreso[[#This Row],[Total Crédito Fiscal]]</f>
        <v>450000</v>
      </c>
      <c r="H264" s="16"/>
      <c r="I264" s="31">
        <f>IF(TablaEgreso[[#This Row],[Crédito Fiscal]]="Si",Configuración!$B$26,0)</f>
        <v>0</v>
      </c>
      <c r="J264" s="32">
        <f>TablaEgreso[[#This Row],[Egreso Total]]*TablaEgreso[[#This Row],[% de Crédito Fiscal]]</f>
        <v>0</v>
      </c>
      <c r="K264" s="146">
        <v>450000</v>
      </c>
    </row>
    <row r="265" spans="2:11" ht="20.100000000000001" customHeight="1" x14ac:dyDescent="0.25">
      <c r="B265" s="140">
        <v>45641</v>
      </c>
      <c r="C265" s="127" t="str">
        <f>IF(Egresos!$B265="","",TEXT(Egresos!$B265,"MMMM" ))</f>
        <v>diciembre</v>
      </c>
      <c r="D265" s="16" t="s">
        <v>144</v>
      </c>
      <c r="E265" s="17" t="s">
        <v>370</v>
      </c>
      <c r="F265" s="16" t="s">
        <v>118</v>
      </c>
      <c r="G265" s="35">
        <f>TablaEgreso[[#This Row],[Egreso Total]]-TablaEgreso[[#This Row],[Total Crédito Fiscal]]</f>
        <v>1000000</v>
      </c>
      <c r="H265" s="16"/>
      <c r="I265" s="31">
        <f>IF(TablaEgreso[[#This Row],[Crédito Fiscal]]="Si",Configuración!$B$26,0)</f>
        <v>0</v>
      </c>
      <c r="J265" s="32">
        <f>TablaEgreso[[#This Row],[Egreso Total]]*TablaEgreso[[#This Row],[% de Crédito Fiscal]]</f>
        <v>0</v>
      </c>
      <c r="K265" s="146">
        <v>1000000</v>
      </c>
    </row>
    <row r="266" spans="2:11" ht="20.100000000000001" customHeight="1" x14ac:dyDescent="0.25">
      <c r="B266" s="140">
        <v>45628</v>
      </c>
      <c r="C266" s="127" t="str">
        <f>IF(Egresos!$B22="","",TEXT(Egresos!$B22,"MMMM" ))</f>
        <v>diciembre</v>
      </c>
      <c r="D266" s="16" t="s">
        <v>109</v>
      </c>
      <c r="E266" s="17" t="s">
        <v>162</v>
      </c>
      <c r="F266" s="16" t="s">
        <v>119</v>
      </c>
      <c r="G266" s="35">
        <f>TablaEgreso[[#This Row],[Egreso Total]]-TablaEgreso[[#This Row],[Total Crédito Fiscal]]</f>
        <v>7199.98</v>
      </c>
      <c r="H266" s="16"/>
      <c r="I266" s="31">
        <f>IF(TablaEgreso[[#This Row],[Crédito Fiscal]]="Si",Configuración!$B$26,0)</f>
        <v>0</v>
      </c>
      <c r="J266" s="32">
        <f>TablaEgreso[[#This Row],[Egreso Total]]*TablaEgreso[[#This Row],[% de Crédito Fiscal]]</f>
        <v>0</v>
      </c>
      <c r="K266" s="146">
        <v>7199.98</v>
      </c>
    </row>
    <row r="267" spans="2:11" ht="20.100000000000001" customHeight="1" x14ac:dyDescent="0.25">
      <c r="B267" s="140">
        <v>45642</v>
      </c>
      <c r="C267" s="127" t="str">
        <f>IF(Egresos!$B288="","",TEXT(Egresos!$B288,"MMMM" ))</f>
        <v>diciembre</v>
      </c>
      <c r="D267" s="16" t="s">
        <v>113</v>
      </c>
      <c r="E267" s="17" t="s">
        <v>387</v>
      </c>
      <c r="F267" s="16" t="s">
        <v>119</v>
      </c>
      <c r="G267" s="35">
        <f>TablaEgreso[[#This Row],[Egreso Total]]-TablaEgreso[[#This Row],[Total Crédito Fiscal]]</f>
        <v>34626.19</v>
      </c>
      <c r="H267" s="16"/>
      <c r="I267" s="31">
        <f>IF(TablaEgreso[[#This Row],[Crédito Fiscal]]="Si",Configuración!$B$26,0)</f>
        <v>0</v>
      </c>
      <c r="J267" s="32">
        <f>TablaEgreso[[#This Row],[Egreso Total]]*TablaEgreso[[#This Row],[% de Crédito Fiscal]]</f>
        <v>0</v>
      </c>
      <c r="K267" s="146">
        <v>34626.19</v>
      </c>
    </row>
    <row r="268" spans="2:11" ht="20.100000000000001" customHeight="1" x14ac:dyDescent="0.25">
      <c r="B268" s="140">
        <v>45639</v>
      </c>
      <c r="C268" s="127" t="str">
        <f>IF(Egresos!$B255="","",TEXT(Egresos!$B255,"MMMM" ))</f>
        <v>diciembre</v>
      </c>
      <c r="D268" s="16" t="s">
        <v>103</v>
      </c>
      <c r="E268" s="17" t="s">
        <v>362</v>
      </c>
      <c r="F268" s="16" t="s">
        <v>13</v>
      </c>
      <c r="G268" s="35">
        <f>TablaEgreso[[#This Row],[Egreso Total]]-TablaEgreso[[#This Row],[Total Crédito Fiscal]]</f>
        <v>10000</v>
      </c>
      <c r="H268" s="16"/>
      <c r="I268" s="31">
        <f>IF(TablaEgreso[[#This Row],[Crédito Fiscal]]="Si",Configuración!$B$26,0)</f>
        <v>0</v>
      </c>
      <c r="J268" s="32">
        <f>TablaEgreso[[#This Row],[Egreso Total]]*TablaEgreso[[#This Row],[% de Crédito Fiscal]]</f>
        <v>0</v>
      </c>
      <c r="K268" s="146">
        <v>10000</v>
      </c>
    </row>
    <row r="269" spans="2:11" ht="20.100000000000001" customHeight="1" x14ac:dyDescent="0.25">
      <c r="B269" s="140">
        <v>45632</v>
      </c>
      <c r="C269" s="127" t="str">
        <f>IF(Egresos!$B75="","",TEXT(Egresos!$B75,"MMMM" ))</f>
        <v>diciembre</v>
      </c>
      <c r="D269" s="16" t="s">
        <v>103</v>
      </c>
      <c r="E269" s="17" t="s">
        <v>211</v>
      </c>
      <c r="F269" s="16" t="s">
        <v>119</v>
      </c>
      <c r="G269" s="35">
        <f>TablaEgreso[[#This Row],[Egreso Total]]-TablaEgreso[[#This Row],[Total Crédito Fiscal]]</f>
        <v>5950.2</v>
      </c>
      <c r="H269" s="16"/>
      <c r="I269" s="31">
        <f>IF(TablaEgreso[[#This Row],[Crédito Fiscal]]="Si",Configuración!$B$26,0)</f>
        <v>0</v>
      </c>
      <c r="J269" s="32">
        <f>TablaEgreso[[#This Row],[Egreso Total]]*TablaEgreso[[#This Row],[% de Crédito Fiscal]]</f>
        <v>0</v>
      </c>
      <c r="K269" s="146">
        <v>5950.2</v>
      </c>
    </row>
    <row r="270" spans="2:11" ht="20.100000000000001" customHeight="1" x14ac:dyDescent="0.25">
      <c r="B270" s="140">
        <v>45638</v>
      </c>
      <c r="C270" s="127" t="str">
        <f>IF(Egresos!$B216="","",TEXT(Egresos!$B216,"MMMM" ))</f>
        <v>diciembre</v>
      </c>
      <c r="D270" s="16" t="s">
        <v>110</v>
      </c>
      <c r="E270" s="17" t="s">
        <v>331</v>
      </c>
      <c r="F270" s="16" t="s">
        <v>119</v>
      </c>
      <c r="G270" s="35">
        <f>TablaEgreso[[#This Row],[Egreso Total]]-TablaEgreso[[#This Row],[Total Crédito Fiscal]]</f>
        <v>5000</v>
      </c>
      <c r="H270" s="16"/>
      <c r="I270" s="31">
        <f>IF(TablaEgreso[[#This Row],[Crédito Fiscal]]="Si",Configuración!$B$26,0)</f>
        <v>0</v>
      </c>
      <c r="J270" s="32">
        <f>TablaEgreso[[#This Row],[Egreso Total]]*TablaEgreso[[#This Row],[% de Crédito Fiscal]]</f>
        <v>0</v>
      </c>
      <c r="K270" s="146">
        <v>5000</v>
      </c>
    </row>
    <row r="271" spans="2:11" ht="20.100000000000001" customHeight="1" x14ac:dyDescent="0.25">
      <c r="B271" s="140">
        <v>45638</v>
      </c>
      <c r="C271" s="127" t="str">
        <f>IF(Egresos!$B244="","",TEXT(Egresos!$B244,"MMMM" ))</f>
        <v>diciembre</v>
      </c>
      <c r="D271" s="16" t="s">
        <v>113</v>
      </c>
      <c r="E271" s="17" t="s">
        <v>355</v>
      </c>
      <c r="F271" s="16" t="s">
        <v>121</v>
      </c>
      <c r="G271" s="35">
        <f>TablaEgreso[[#This Row],[Egreso Total]]-TablaEgreso[[#This Row],[Total Crédito Fiscal]]</f>
        <v>0</v>
      </c>
      <c r="H271" s="16"/>
      <c r="I271" s="31">
        <f>IF(TablaEgreso[[#This Row],[Crédito Fiscal]]="Si",Configuración!$B$26,0)</f>
        <v>0</v>
      </c>
      <c r="J271" s="32">
        <f>TablaEgreso[[#This Row],[Egreso Total]]*TablaEgreso[[#This Row],[% de Crédito Fiscal]]</f>
        <v>0</v>
      </c>
      <c r="K271" s="146">
        <v>0</v>
      </c>
    </row>
    <row r="272" spans="2:11" ht="20.100000000000001" customHeight="1" x14ac:dyDescent="0.25">
      <c r="B272" s="140">
        <v>45639</v>
      </c>
      <c r="C272" s="127" t="str">
        <f>IF(Egresos!$B272="","",TEXT(Egresos!$B272,"MMMM" ))</f>
        <v>diciembre</v>
      </c>
      <c r="D272" s="16" t="s">
        <v>101</v>
      </c>
      <c r="E272" s="17" t="s">
        <v>375</v>
      </c>
      <c r="F272" s="16" t="s">
        <v>120</v>
      </c>
      <c r="G272" s="35">
        <f>TablaEgreso[[#This Row],[Egreso Total]]-TablaEgreso[[#This Row],[Total Crédito Fiscal]]</f>
        <v>96500</v>
      </c>
      <c r="H272" s="16"/>
      <c r="I272" s="31">
        <f>IF(TablaEgreso[[#This Row],[Crédito Fiscal]]="Si",Configuración!$B$26,0)</f>
        <v>0</v>
      </c>
      <c r="J272" s="32">
        <f>TablaEgreso[[#This Row],[Egreso Total]]*TablaEgreso[[#This Row],[% de Crédito Fiscal]]</f>
        <v>0</v>
      </c>
      <c r="K272" s="146">
        <v>96500</v>
      </c>
    </row>
    <row r="273" spans="2:11" ht="20.100000000000001" customHeight="1" x14ac:dyDescent="0.25">
      <c r="B273" s="140">
        <v>45639</v>
      </c>
      <c r="C273" s="127" t="str">
        <f>IF(Egresos!$B273="","",TEXT(Egresos!$B273,"MMMM" ))</f>
        <v>diciembre</v>
      </c>
      <c r="D273" s="16" t="s">
        <v>103</v>
      </c>
      <c r="E273" s="17" t="s">
        <v>376</v>
      </c>
      <c r="F273" s="16" t="s">
        <v>120</v>
      </c>
      <c r="G273" s="35">
        <f>TablaEgreso[[#This Row],[Egreso Total]]-TablaEgreso[[#This Row],[Total Crédito Fiscal]]</f>
        <v>19865</v>
      </c>
      <c r="H273" s="16"/>
      <c r="I273" s="31">
        <f>IF(TablaEgreso[[#This Row],[Crédito Fiscal]]="Si",Configuración!$B$26,0)</f>
        <v>0</v>
      </c>
      <c r="J273" s="32">
        <f>TablaEgreso[[#This Row],[Egreso Total]]*TablaEgreso[[#This Row],[% de Crédito Fiscal]]</f>
        <v>0</v>
      </c>
      <c r="K273" s="146">
        <v>19865</v>
      </c>
    </row>
    <row r="274" spans="2:11" ht="20.100000000000001" customHeight="1" x14ac:dyDescent="0.25">
      <c r="B274" s="140">
        <v>45639</v>
      </c>
      <c r="C274" s="127" t="str">
        <f>IF(Egresos!$B274="","",TEXT(Egresos!$B274,"MMMM" ))</f>
        <v>diciembre</v>
      </c>
      <c r="D274" s="16" t="s">
        <v>112</v>
      </c>
      <c r="E274" s="17" t="s">
        <v>377</v>
      </c>
      <c r="F274" s="16" t="s">
        <v>120</v>
      </c>
      <c r="G274" s="35">
        <f>TablaEgreso[[#This Row],[Egreso Total]]-TablaEgreso[[#This Row],[Total Crédito Fiscal]]</f>
        <v>20700</v>
      </c>
      <c r="H274" s="16"/>
      <c r="I274" s="31">
        <f>IF(TablaEgreso[[#This Row],[Crédito Fiscal]]="Si",Configuración!$B$26,0)</f>
        <v>0</v>
      </c>
      <c r="J274" s="32">
        <f>TablaEgreso[[#This Row],[Egreso Total]]*TablaEgreso[[#This Row],[% de Crédito Fiscal]]</f>
        <v>0</v>
      </c>
      <c r="K274" s="146">
        <v>20700</v>
      </c>
    </row>
    <row r="275" spans="2:11" ht="20.100000000000001" customHeight="1" x14ac:dyDescent="0.25">
      <c r="B275" s="140">
        <v>45639</v>
      </c>
      <c r="C275" s="127" t="str">
        <f>IF(Egresos!$B275="","",TEXT(Egresos!$B275,"MMMM" ))</f>
        <v>diciembre</v>
      </c>
      <c r="D275" s="16" t="s">
        <v>102</v>
      </c>
      <c r="E275" s="17" t="s">
        <v>378</v>
      </c>
      <c r="F275" s="16" t="s">
        <v>120</v>
      </c>
      <c r="G275" s="35">
        <f>TablaEgreso[[#This Row],[Egreso Total]]-TablaEgreso[[#This Row],[Total Crédito Fiscal]]</f>
        <v>9300</v>
      </c>
      <c r="H275" s="16"/>
      <c r="I275" s="31">
        <f>IF(TablaEgreso[[#This Row],[Crédito Fiscal]]="Si",Configuración!$B$26,0)</f>
        <v>0</v>
      </c>
      <c r="J275" s="32">
        <f>TablaEgreso[[#This Row],[Egreso Total]]*TablaEgreso[[#This Row],[% de Crédito Fiscal]]</f>
        <v>0</v>
      </c>
      <c r="K275" s="146">
        <v>9300</v>
      </c>
    </row>
    <row r="276" spans="2:11" ht="20.100000000000001" customHeight="1" x14ac:dyDescent="0.25">
      <c r="B276" s="140">
        <v>45639</v>
      </c>
      <c r="C276" s="127" t="str">
        <f>IF(Egresos!$B276="","",TEXT(Egresos!$B276,"MMMM" ))</f>
        <v>diciembre</v>
      </c>
      <c r="D276" s="16" t="s">
        <v>145</v>
      </c>
      <c r="E276" s="17" t="s">
        <v>379</v>
      </c>
      <c r="F276" s="16" t="s">
        <v>120</v>
      </c>
      <c r="G276" s="35">
        <f>TablaEgreso[[#This Row],[Egreso Total]]-TablaEgreso[[#This Row],[Total Crédito Fiscal]]</f>
        <v>10000</v>
      </c>
      <c r="H276" s="16"/>
      <c r="I276" s="31">
        <f>IF(TablaEgreso[[#This Row],[Crédito Fiscal]]="Si",Configuración!$B$26,0)</f>
        <v>0</v>
      </c>
      <c r="J276" s="32">
        <f>TablaEgreso[[#This Row],[Egreso Total]]*TablaEgreso[[#This Row],[% de Crédito Fiscal]]</f>
        <v>0</v>
      </c>
      <c r="K276" s="146">
        <v>10000</v>
      </c>
    </row>
    <row r="277" spans="2:11" ht="20.100000000000001" customHeight="1" x14ac:dyDescent="0.25">
      <c r="B277" s="140">
        <v>45639</v>
      </c>
      <c r="C277" s="127" t="str">
        <f>IF(Egresos!$B277="","",TEXT(Egresos!$B277,"MMMM" ))</f>
        <v>diciembre</v>
      </c>
      <c r="D277" s="16" t="s">
        <v>113</v>
      </c>
      <c r="E277" s="17" t="s">
        <v>172</v>
      </c>
      <c r="F277" s="16" t="s">
        <v>120</v>
      </c>
      <c r="G277" s="35">
        <f>TablaEgreso[[#This Row],[Egreso Total]]-TablaEgreso[[#This Row],[Total Crédito Fiscal]]</f>
        <v>8000</v>
      </c>
      <c r="H277" s="16"/>
      <c r="I277" s="31">
        <f>IF(TablaEgreso[[#This Row],[Crédito Fiscal]]="Si",Configuración!$B$26,0)</f>
        <v>0</v>
      </c>
      <c r="J277" s="32">
        <f>TablaEgreso[[#This Row],[Egreso Total]]*TablaEgreso[[#This Row],[% de Crédito Fiscal]]</f>
        <v>0</v>
      </c>
      <c r="K277" s="146">
        <v>8000</v>
      </c>
    </row>
    <row r="278" spans="2:11" ht="20.100000000000001" customHeight="1" x14ac:dyDescent="0.25">
      <c r="B278" s="140">
        <v>45639</v>
      </c>
      <c r="C278" s="127" t="str">
        <f>IF(Egresos!$B278="","",TEXT(Egresos!$B278,"MMMM" ))</f>
        <v>diciembre</v>
      </c>
      <c r="D278" s="16" t="s">
        <v>114</v>
      </c>
      <c r="E278" s="17" t="s">
        <v>380</v>
      </c>
      <c r="F278" s="16" t="s">
        <v>120</v>
      </c>
      <c r="G278" s="35">
        <f>TablaEgreso[[#This Row],[Egreso Total]]-TablaEgreso[[#This Row],[Total Crédito Fiscal]]</f>
        <v>0</v>
      </c>
      <c r="H278" s="16"/>
      <c r="I278" s="31">
        <f>IF(TablaEgreso[[#This Row],[Crédito Fiscal]]="Si",Configuración!$B$26,0)</f>
        <v>0</v>
      </c>
      <c r="J278" s="32">
        <f>TablaEgreso[[#This Row],[Egreso Total]]*TablaEgreso[[#This Row],[% de Crédito Fiscal]]</f>
        <v>0</v>
      </c>
      <c r="K278" s="146">
        <v>0</v>
      </c>
    </row>
    <row r="279" spans="2:11" ht="20.100000000000001" customHeight="1" x14ac:dyDescent="0.25">
      <c r="B279" s="140">
        <v>45640</v>
      </c>
      <c r="C279" s="127" t="str">
        <f>IF(Egresos!$B279="","",TEXT(Egresos!$B279,"MMMM" ))</f>
        <v>diciembre</v>
      </c>
      <c r="D279" s="16" t="s">
        <v>113</v>
      </c>
      <c r="E279" s="17" t="s">
        <v>172</v>
      </c>
      <c r="F279" s="16" t="s">
        <v>120</v>
      </c>
      <c r="G279" s="35">
        <f>TablaEgreso[[#This Row],[Egreso Total]]-TablaEgreso[[#This Row],[Total Crédito Fiscal]]</f>
        <v>7000</v>
      </c>
      <c r="H279" s="16"/>
      <c r="I279" s="31">
        <f>IF(TablaEgreso[[#This Row],[Crédito Fiscal]]="Si",Configuración!$B$26,0)</f>
        <v>0</v>
      </c>
      <c r="J279" s="32">
        <f>TablaEgreso[[#This Row],[Egreso Total]]*TablaEgreso[[#This Row],[% de Crédito Fiscal]]</f>
        <v>0</v>
      </c>
      <c r="K279" s="146">
        <v>7000</v>
      </c>
    </row>
    <row r="280" spans="2:11" ht="20.100000000000001" customHeight="1" x14ac:dyDescent="0.25">
      <c r="B280" s="140">
        <v>45640</v>
      </c>
      <c r="C280" s="127" t="str">
        <f>IF(Egresos!$B280="","",TEXT(Egresos!$B280,"MMMM" ))</f>
        <v>diciembre</v>
      </c>
      <c r="D280" s="16" t="s">
        <v>109</v>
      </c>
      <c r="E280" s="17" t="s">
        <v>217</v>
      </c>
      <c r="F280" s="16" t="s">
        <v>120</v>
      </c>
      <c r="G280" s="35">
        <f>TablaEgreso[[#This Row],[Egreso Total]]-TablaEgreso[[#This Row],[Total Crédito Fiscal]]</f>
        <v>12300</v>
      </c>
      <c r="H280" s="16"/>
      <c r="I280" s="31">
        <f>IF(TablaEgreso[[#This Row],[Crédito Fiscal]]="Si",Configuración!$B$26,0)</f>
        <v>0</v>
      </c>
      <c r="J280" s="32">
        <f>TablaEgreso[[#This Row],[Egreso Total]]*TablaEgreso[[#This Row],[% de Crédito Fiscal]]</f>
        <v>0</v>
      </c>
      <c r="K280" s="146">
        <v>12300</v>
      </c>
    </row>
    <row r="281" spans="2:11" ht="20.100000000000001" customHeight="1" x14ac:dyDescent="0.25">
      <c r="B281" s="140">
        <v>45640</v>
      </c>
      <c r="C281" s="127" t="str">
        <f>IF(Egresos!$B281="","",TEXT(Egresos!$B281,"MMMM" ))</f>
        <v>diciembre</v>
      </c>
      <c r="D281" s="16" t="s">
        <v>112</v>
      </c>
      <c r="E281" s="17" t="s">
        <v>381</v>
      </c>
      <c r="F281" s="16" t="s">
        <v>120</v>
      </c>
      <c r="G281" s="35">
        <f>TablaEgreso[[#This Row],[Egreso Total]]-TablaEgreso[[#This Row],[Total Crédito Fiscal]]</f>
        <v>3300</v>
      </c>
      <c r="H281" s="16"/>
      <c r="I281" s="31">
        <f>IF(TablaEgreso[[#This Row],[Crédito Fiscal]]="Si",Configuración!$B$26,0)</f>
        <v>0</v>
      </c>
      <c r="J281" s="32">
        <f>TablaEgreso[[#This Row],[Egreso Total]]*TablaEgreso[[#This Row],[% de Crédito Fiscal]]</f>
        <v>0</v>
      </c>
      <c r="K281" s="146">
        <v>3300</v>
      </c>
    </row>
    <row r="282" spans="2:11" ht="20.100000000000001" customHeight="1" x14ac:dyDescent="0.25">
      <c r="B282" s="140">
        <v>45641</v>
      </c>
      <c r="C282" s="127" t="str">
        <f>IF(Egresos!$B282="","",TEXT(Egresos!$B282,"MMMM" ))</f>
        <v>diciembre</v>
      </c>
      <c r="D282" s="16" t="s">
        <v>114</v>
      </c>
      <c r="E282" s="17" t="s">
        <v>382</v>
      </c>
      <c r="F282" s="16" t="s">
        <v>120</v>
      </c>
      <c r="G282" s="35">
        <f>TablaEgreso[[#This Row],[Egreso Total]]-TablaEgreso[[#This Row],[Total Crédito Fiscal]]</f>
        <v>0</v>
      </c>
      <c r="H282" s="16"/>
      <c r="I282" s="31">
        <f>IF(TablaEgreso[[#This Row],[Crédito Fiscal]]="Si",Configuración!$B$26,0)</f>
        <v>0</v>
      </c>
      <c r="J282" s="32">
        <f>TablaEgreso[[#This Row],[Egreso Total]]*TablaEgreso[[#This Row],[% de Crédito Fiscal]]</f>
        <v>0</v>
      </c>
      <c r="K282" s="146">
        <v>0</v>
      </c>
    </row>
    <row r="283" spans="2:11" ht="20.100000000000001" customHeight="1" x14ac:dyDescent="0.25">
      <c r="B283" s="140">
        <v>45642</v>
      </c>
      <c r="C283" s="127" t="str">
        <f>IF(Egresos!$B283="","",TEXT(Egresos!$B283,"MMMM" ))</f>
        <v>diciembre</v>
      </c>
      <c r="D283" s="16" t="s">
        <v>146</v>
      </c>
      <c r="E283" s="17" t="s">
        <v>383</v>
      </c>
      <c r="F283" s="16" t="s">
        <v>13</v>
      </c>
      <c r="G283" s="35">
        <f>TablaEgreso[[#This Row],[Egreso Total]]-TablaEgreso[[#This Row],[Total Crédito Fiscal]]</f>
        <v>184993</v>
      </c>
      <c r="H283" s="16"/>
      <c r="I283" s="31">
        <f>IF(TablaEgreso[[#This Row],[Crédito Fiscal]]="Si",Configuración!$B$26,0)</f>
        <v>0</v>
      </c>
      <c r="J283" s="32">
        <f>TablaEgreso[[#This Row],[Egreso Total]]*TablaEgreso[[#This Row],[% de Crédito Fiscal]]</f>
        <v>0</v>
      </c>
      <c r="K283" s="146">
        <v>184993</v>
      </c>
    </row>
    <row r="284" spans="2:11" ht="20.100000000000001" customHeight="1" x14ac:dyDescent="0.25">
      <c r="B284" s="140">
        <v>45642</v>
      </c>
      <c r="C284" s="127" t="str">
        <f>IF(Egresos!$B284="","",TEXT(Egresos!$B284,"MMMM" ))</f>
        <v>diciembre</v>
      </c>
      <c r="D284" s="16" t="s">
        <v>146</v>
      </c>
      <c r="E284" s="17" t="s">
        <v>200</v>
      </c>
      <c r="F284" s="16" t="s">
        <v>13</v>
      </c>
      <c r="G284" s="35">
        <f>TablaEgreso[[#This Row],[Egreso Total]]-TablaEgreso[[#This Row],[Total Crédito Fiscal]]</f>
        <v>111120</v>
      </c>
      <c r="H284" s="16"/>
      <c r="I284" s="31">
        <f>IF(TablaEgreso[[#This Row],[Crédito Fiscal]]="Si",Configuración!$B$26,0)</f>
        <v>0</v>
      </c>
      <c r="J284" s="32">
        <f>TablaEgreso[[#This Row],[Egreso Total]]*TablaEgreso[[#This Row],[% de Crédito Fiscal]]</f>
        <v>0</v>
      </c>
      <c r="K284" s="146">
        <v>111120</v>
      </c>
    </row>
    <row r="285" spans="2:11" ht="20.100000000000001" customHeight="1" x14ac:dyDescent="0.25">
      <c r="B285" s="140">
        <v>45642</v>
      </c>
      <c r="C285" s="127" t="str">
        <f>IF(Egresos!$B285="","",TEXT(Egresos!$B285,"MMMM" ))</f>
        <v>diciembre</v>
      </c>
      <c r="D285" s="16" t="s">
        <v>100</v>
      </c>
      <c r="E285" s="17" t="s">
        <v>384</v>
      </c>
      <c r="F285" s="16" t="s">
        <v>12</v>
      </c>
      <c r="G285" s="35">
        <f>TablaEgreso[[#This Row],[Egreso Total]]-TablaEgreso[[#This Row],[Total Crédito Fiscal]]</f>
        <v>3455000</v>
      </c>
      <c r="H285" s="16"/>
      <c r="I285" s="31">
        <f>IF(TablaEgreso[[#This Row],[Crédito Fiscal]]="Si",Configuración!$B$26,0)</f>
        <v>0</v>
      </c>
      <c r="J285" s="32">
        <f>TablaEgreso[[#This Row],[Egreso Total]]*TablaEgreso[[#This Row],[% de Crédito Fiscal]]</f>
        <v>0</v>
      </c>
      <c r="K285" s="146">
        <v>3455000</v>
      </c>
    </row>
    <row r="286" spans="2:11" ht="20.100000000000001" customHeight="1" x14ac:dyDescent="0.25">
      <c r="B286" s="140">
        <v>45642</v>
      </c>
      <c r="C286" s="127" t="str">
        <f>IF(Egresos!$B286="","",TEXT(Egresos!$B286,"MMMM" ))</f>
        <v>diciembre</v>
      </c>
      <c r="D286" s="16" t="s">
        <v>114</v>
      </c>
      <c r="E286" s="17" t="s">
        <v>385</v>
      </c>
      <c r="F286" s="16" t="s">
        <v>120</v>
      </c>
      <c r="G286" s="35">
        <f>TablaEgreso[[#This Row],[Egreso Total]]-TablaEgreso[[#This Row],[Total Crédito Fiscal]]</f>
        <v>0</v>
      </c>
      <c r="H286" s="16"/>
      <c r="I286" s="31">
        <f>IF(TablaEgreso[[#This Row],[Crédito Fiscal]]="Si",Configuración!$B$26,0)</f>
        <v>0</v>
      </c>
      <c r="J286" s="32">
        <f>TablaEgreso[[#This Row],[Egreso Total]]*TablaEgreso[[#This Row],[% de Crédito Fiscal]]</f>
        <v>0</v>
      </c>
      <c r="K286" s="146">
        <v>0</v>
      </c>
    </row>
    <row r="287" spans="2:11" ht="20.100000000000001" customHeight="1" x14ac:dyDescent="0.25">
      <c r="B287" s="140">
        <v>45631</v>
      </c>
      <c r="C287" s="127" t="str">
        <f>IF(Egresos!$B50="","",TEXT(Egresos!$B50,"MMMM" ))</f>
        <v>diciembre</v>
      </c>
      <c r="D287" s="16" t="s">
        <v>108</v>
      </c>
      <c r="E287" s="17" t="s">
        <v>185</v>
      </c>
      <c r="F287" s="16" t="s">
        <v>119</v>
      </c>
      <c r="G287" s="35">
        <f>TablaEgreso[[#This Row],[Egreso Total]]-TablaEgreso[[#This Row],[Total Crédito Fiscal]]</f>
        <v>2700</v>
      </c>
      <c r="H287" s="16"/>
      <c r="I287" s="31">
        <f>IF(TablaEgreso[[#This Row],[Crédito Fiscal]]="Si",Configuración!$B$26,0)</f>
        <v>0</v>
      </c>
      <c r="J287" s="32">
        <f>TablaEgreso[[#This Row],[Egreso Total]]*TablaEgreso[[#This Row],[% de Crédito Fiscal]]</f>
        <v>0</v>
      </c>
      <c r="K287" s="146">
        <v>2700</v>
      </c>
    </row>
    <row r="288" spans="2:11" ht="20.100000000000001" customHeight="1" x14ac:dyDescent="0.25">
      <c r="B288" s="140">
        <v>45631</v>
      </c>
      <c r="C288" s="127" t="str">
        <f>IF(Egresos!$B49="","",TEXT(Egresos!$B49,"MMMM" ))</f>
        <v>diciembre</v>
      </c>
      <c r="D288" s="16" t="s">
        <v>102</v>
      </c>
      <c r="E288" s="17" t="s">
        <v>186</v>
      </c>
      <c r="F288" s="16" t="s">
        <v>119</v>
      </c>
      <c r="G288" s="35">
        <f>TablaEgreso[[#This Row],[Egreso Total]]-TablaEgreso[[#This Row],[Total Crédito Fiscal]]</f>
        <v>17500</v>
      </c>
      <c r="H288" s="16"/>
      <c r="I288" s="31">
        <f>IF(TablaEgreso[[#This Row],[Crédito Fiscal]]="Si",Configuración!$B$26,0)</f>
        <v>0</v>
      </c>
      <c r="J288" s="32">
        <f>TablaEgreso[[#This Row],[Egreso Total]]*TablaEgreso[[#This Row],[% de Crédito Fiscal]]</f>
        <v>0</v>
      </c>
      <c r="K288" s="146">
        <v>17500</v>
      </c>
    </row>
    <row r="289" spans="2:11" ht="20.100000000000001" customHeight="1" x14ac:dyDescent="0.25">
      <c r="B289" s="140">
        <v>45638</v>
      </c>
      <c r="C289" s="127" t="str">
        <f>IF(Egresos!$B214="","",TEXT(Egresos!$B214,"MMMM" ))</f>
        <v>diciembre</v>
      </c>
      <c r="D289" s="16" t="s">
        <v>102</v>
      </c>
      <c r="E289" s="17" t="s">
        <v>329</v>
      </c>
      <c r="F289" s="16" t="s">
        <v>119</v>
      </c>
      <c r="G289" s="35">
        <f>TablaEgreso[[#This Row],[Egreso Total]]-TablaEgreso[[#This Row],[Total Crédito Fiscal]]</f>
        <v>10000</v>
      </c>
      <c r="H289" s="16"/>
      <c r="I289" s="31">
        <f>IF(TablaEgreso[[#This Row],[Crédito Fiscal]]="Si",Configuración!$B$26,0)</f>
        <v>0</v>
      </c>
      <c r="J289" s="32">
        <f>TablaEgreso[[#This Row],[Egreso Total]]*TablaEgreso[[#This Row],[% de Crédito Fiscal]]</f>
        <v>0</v>
      </c>
      <c r="K289" s="146">
        <v>10000</v>
      </c>
    </row>
    <row r="290" spans="2:11" ht="20.100000000000001" customHeight="1" x14ac:dyDescent="0.25">
      <c r="B290" s="140">
        <v>45638</v>
      </c>
      <c r="C290" s="127" t="str">
        <f>IF(Egresos!$B212="","",TEXT(Egresos!$B212,"MMMM" ))</f>
        <v>diciembre</v>
      </c>
      <c r="D290" s="16" t="s">
        <v>109</v>
      </c>
      <c r="E290" s="17" t="s">
        <v>327</v>
      </c>
      <c r="F290" s="16" t="s">
        <v>119</v>
      </c>
      <c r="G290" s="35">
        <f>TablaEgreso[[#This Row],[Egreso Total]]-TablaEgreso[[#This Row],[Total Crédito Fiscal]]</f>
        <v>8990</v>
      </c>
      <c r="H290" s="16"/>
      <c r="I290" s="31">
        <f>IF(TablaEgreso[[#This Row],[Crédito Fiscal]]="Si",Configuración!$B$26,0)</f>
        <v>0</v>
      </c>
      <c r="J290" s="32">
        <f>TablaEgreso[[#This Row],[Egreso Total]]*TablaEgreso[[#This Row],[% de Crédito Fiscal]]</f>
        <v>0</v>
      </c>
      <c r="K290" s="146">
        <v>8990</v>
      </c>
    </row>
    <row r="291" spans="2:11" ht="20.100000000000001" customHeight="1" x14ac:dyDescent="0.25">
      <c r="B291" s="140">
        <v>45643</v>
      </c>
      <c r="C291" s="127" t="str">
        <f>IF(Egresos!$B291="","",TEXT(Egresos!$B291,"MMMM" ))</f>
        <v>diciembre</v>
      </c>
      <c r="D291" s="16" t="s">
        <v>108</v>
      </c>
      <c r="E291" s="17" t="s">
        <v>153</v>
      </c>
      <c r="F291" s="16" t="s">
        <v>118</v>
      </c>
      <c r="G291" s="35">
        <f>TablaEgreso[[#This Row],[Egreso Total]]-TablaEgreso[[#This Row],[Total Crédito Fiscal]]</f>
        <v>85400</v>
      </c>
      <c r="H291" s="16"/>
      <c r="I291" s="31">
        <f>IF(TablaEgreso[[#This Row],[Crédito Fiscal]]="Si",Configuración!$B$26,0)</f>
        <v>0</v>
      </c>
      <c r="J291" s="32">
        <f>TablaEgreso[[#This Row],[Egreso Total]]*TablaEgreso[[#This Row],[% de Crédito Fiscal]]</f>
        <v>0</v>
      </c>
      <c r="K291" s="146">
        <v>85400</v>
      </c>
    </row>
    <row r="292" spans="2:11" ht="20.100000000000001" customHeight="1" x14ac:dyDescent="0.25">
      <c r="B292" s="140">
        <v>45643</v>
      </c>
      <c r="C292" s="127" t="str">
        <f>IF(Egresos!$B292="","",TEXT(Egresos!$B292,"MMMM" ))</f>
        <v>diciembre</v>
      </c>
      <c r="D292" s="16" t="s">
        <v>109</v>
      </c>
      <c r="E292" s="17" t="s">
        <v>389</v>
      </c>
      <c r="F292" s="16" t="s">
        <v>118</v>
      </c>
      <c r="G292" s="35">
        <f>TablaEgreso[[#This Row],[Egreso Total]]-TablaEgreso[[#This Row],[Total Crédito Fiscal]]</f>
        <v>25000</v>
      </c>
      <c r="H292" s="16"/>
      <c r="I292" s="31">
        <f>IF(TablaEgreso[[#This Row],[Crédito Fiscal]]="Si",Configuración!$B$26,0)</f>
        <v>0</v>
      </c>
      <c r="J292" s="32">
        <f>TablaEgreso[[#This Row],[Egreso Total]]*TablaEgreso[[#This Row],[% de Crédito Fiscal]]</f>
        <v>0</v>
      </c>
      <c r="K292" s="146">
        <v>25000</v>
      </c>
    </row>
    <row r="293" spans="2:11" ht="20.100000000000001" customHeight="1" x14ac:dyDescent="0.25">
      <c r="B293" s="140">
        <v>45643</v>
      </c>
      <c r="C293" s="127" t="str">
        <f>IF(Egresos!$B293="","",TEXT(Egresos!$B293,"MMMM" ))</f>
        <v>diciembre</v>
      </c>
      <c r="D293" s="16" t="s">
        <v>102</v>
      </c>
      <c r="E293" s="17" t="s">
        <v>390</v>
      </c>
      <c r="F293" s="16" t="s">
        <v>118</v>
      </c>
      <c r="G293" s="35">
        <f>TablaEgreso[[#This Row],[Egreso Total]]-TablaEgreso[[#This Row],[Total Crédito Fiscal]]</f>
        <v>9000</v>
      </c>
      <c r="H293" s="16"/>
      <c r="I293" s="31">
        <f>IF(TablaEgreso[[#This Row],[Crédito Fiscal]]="Si",Configuración!$B$26,0)</f>
        <v>0</v>
      </c>
      <c r="J293" s="32">
        <f>TablaEgreso[[#This Row],[Egreso Total]]*TablaEgreso[[#This Row],[% de Crédito Fiscal]]</f>
        <v>0</v>
      </c>
      <c r="K293" s="146">
        <v>9000</v>
      </c>
    </row>
    <row r="294" spans="2:11" ht="20.100000000000001" customHeight="1" x14ac:dyDescent="0.25">
      <c r="B294" s="140">
        <v>45643</v>
      </c>
      <c r="C294" s="127" t="str">
        <f>IF(Egresos!$B294="","",TEXT(Egresos!$B294,"MMMM" ))</f>
        <v>diciembre</v>
      </c>
      <c r="D294" s="16" t="s">
        <v>112</v>
      </c>
      <c r="E294" s="17" t="s">
        <v>391</v>
      </c>
      <c r="F294" s="16" t="s">
        <v>118</v>
      </c>
      <c r="G294" s="35">
        <f>TablaEgreso[[#This Row],[Egreso Total]]-TablaEgreso[[#This Row],[Total Crédito Fiscal]]</f>
        <v>11300</v>
      </c>
      <c r="H294" s="16"/>
      <c r="I294" s="31">
        <f>IF(TablaEgreso[[#This Row],[Crédito Fiscal]]="Si",Configuración!$B$26,0)</f>
        <v>0</v>
      </c>
      <c r="J294" s="32">
        <f>TablaEgreso[[#This Row],[Egreso Total]]*TablaEgreso[[#This Row],[% de Crédito Fiscal]]</f>
        <v>0</v>
      </c>
      <c r="K294" s="146">
        <v>11300</v>
      </c>
    </row>
    <row r="295" spans="2:11" ht="20.100000000000001" customHeight="1" x14ac:dyDescent="0.25">
      <c r="B295" s="140">
        <v>45643</v>
      </c>
      <c r="C295" s="127" t="str">
        <f>IF(Egresos!$B295="","",TEXT(Egresos!$B295,"MMMM" ))</f>
        <v>diciembre</v>
      </c>
      <c r="D295" s="16" t="s">
        <v>113</v>
      </c>
      <c r="E295" s="17" t="s">
        <v>392</v>
      </c>
      <c r="F295" s="16" t="s">
        <v>118</v>
      </c>
      <c r="G295" s="35">
        <f>TablaEgreso[[#This Row],[Egreso Total]]-TablaEgreso[[#This Row],[Total Crédito Fiscal]]</f>
        <v>117600</v>
      </c>
      <c r="H295" s="16"/>
      <c r="I295" s="31">
        <f>IF(TablaEgreso[[#This Row],[Crédito Fiscal]]="Si",Configuración!$B$26,0)</f>
        <v>0</v>
      </c>
      <c r="J295" s="32">
        <f>TablaEgreso[[#This Row],[Egreso Total]]*TablaEgreso[[#This Row],[% de Crédito Fiscal]]</f>
        <v>0</v>
      </c>
      <c r="K295" s="146">
        <v>117600</v>
      </c>
    </row>
    <row r="296" spans="2:11" ht="20.100000000000001" customHeight="1" x14ac:dyDescent="0.25">
      <c r="B296" s="140">
        <v>45643</v>
      </c>
      <c r="C296" s="127" t="str">
        <f>IF(Egresos!$B296="","",TEXT(Egresos!$B296,"MMMM" ))</f>
        <v>diciembre</v>
      </c>
      <c r="D296" s="16" t="s">
        <v>142</v>
      </c>
      <c r="E296" s="17" t="s">
        <v>393</v>
      </c>
      <c r="F296" s="16" t="s">
        <v>118</v>
      </c>
      <c r="G296" s="35">
        <f>TablaEgreso[[#This Row],[Egreso Total]]-TablaEgreso[[#This Row],[Total Crédito Fiscal]]</f>
        <v>3000</v>
      </c>
      <c r="H296" s="16"/>
      <c r="I296" s="31">
        <f>IF(TablaEgreso[[#This Row],[Crédito Fiscal]]="Si",Configuración!$B$26,0)</f>
        <v>0</v>
      </c>
      <c r="J296" s="32">
        <f>TablaEgreso[[#This Row],[Egreso Total]]*TablaEgreso[[#This Row],[% de Crédito Fiscal]]</f>
        <v>0</v>
      </c>
      <c r="K296" s="146">
        <v>3000</v>
      </c>
    </row>
    <row r="297" spans="2:11" ht="20.100000000000001" customHeight="1" x14ac:dyDescent="0.25">
      <c r="B297" s="140">
        <v>45643</v>
      </c>
      <c r="C297" s="127" t="str">
        <f>IF(Egresos!$B297="","",TEXT(Egresos!$B297,"MMMM" ))</f>
        <v>diciembre</v>
      </c>
      <c r="D297" s="16" t="s">
        <v>101</v>
      </c>
      <c r="E297" s="17" t="s">
        <v>191</v>
      </c>
      <c r="F297" s="16" t="s">
        <v>118</v>
      </c>
      <c r="G297" s="35">
        <f>TablaEgreso[[#This Row],[Egreso Total]]-TablaEgreso[[#This Row],[Total Crédito Fiscal]]</f>
        <v>158000</v>
      </c>
      <c r="H297" s="16"/>
      <c r="I297" s="31">
        <f>IF(TablaEgreso[[#This Row],[Crédito Fiscal]]="Si",Configuración!$B$26,0)</f>
        <v>0</v>
      </c>
      <c r="J297" s="32">
        <f>TablaEgreso[[#This Row],[Egreso Total]]*TablaEgreso[[#This Row],[% de Crédito Fiscal]]</f>
        <v>0</v>
      </c>
      <c r="K297" s="146">
        <v>158000</v>
      </c>
    </row>
    <row r="298" spans="2:11" ht="20.100000000000001" customHeight="1" x14ac:dyDescent="0.25">
      <c r="B298" s="140">
        <v>45643</v>
      </c>
      <c r="C298" s="127" t="str">
        <f>IF(Egresos!$B298="","",TEXT(Egresos!$B298,"MMMM" ))</f>
        <v>diciembre</v>
      </c>
      <c r="D298" s="16" t="s">
        <v>101</v>
      </c>
      <c r="E298" s="17" t="s">
        <v>394</v>
      </c>
      <c r="F298" s="16" t="s">
        <v>118</v>
      </c>
      <c r="G298" s="35">
        <f>TablaEgreso[[#This Row],[Egreso Total]]-TablaEgreso[[#This Row],[Total Crédito Fiscal]]</f>
        <v>200000</v>
      </c>
      <c r="H298" s="16"/>
      <c r="I298" s="31">
        <f>IF(TablaEgreso[[#This Row],[Crédito Fiscal]]="Si",Configuración!$B$26,0)</f>
        <v>0</v>
      </c>
      <c r="J298" s="32">
        <f>TablaEgreso[[#This Row],[Egreso Total]]*TablaEgreso[[#This Row],[% de Crédito Fiscal]]</f>
        <v>0</v>
      </c>
      <c r="K298" s="146">
        <v>200000</v>
      </c>
    </row>
    <row r="299" spans="2:11" ht="20.100000000000001" customHeight="1" x14ac:dyDescent="0.25">
      <c r="B299" s="140">
        <v>45643</v>
      </c>
      <c r="C299" s="127" t="str">
        <f>IF(Egresos!$B299="","",TEXT(Egresos!$B299,"MMMM" ))</f>
        <v>diciembre</v>
      </c>
      <c r="D299" s="16" t="s">
        <v>101</v>
      </c>
      <c r="E299" s="17" t="s">
        <v>166</v>
      </c>
      <c r="F299" s="16" t="s">
        <v>118</v>
      </c>
      <c r="G299" s="35">
        <f>TablaEgreso[[#This Row],[Egreso Total]]-TablaEgreso[[#This Row],[Total Crédito Fiscal]]</f>
        <v>157000</v>
      </c>
      <c r="H299" s="16"/>
      <c r="I299" s="31">
        <f>IF(TablaEgreso[[#This Row],[Crédito Fiscal]]="Si",Configuración!$B$26,0)</f>
        <v>0</v>
      </c>
      <c r="J299" s="32">
        <f>TablaEgreso[[#This Row],[Egreso Total]]*TablaEgreso[[#This Row],[% de Crédito Fiscal]]</f>
        <v>0</v>
      </c>
      <c r="K299" s="146">
        <v>157000</v>
      </c>
    </row>
    <row r="300" spans="2:11" ht="20.100000000000001" customHeight="1" x14ac:dyDescent="0.25">
      <c r="B300" s="140">
        <v>45643</v>
      </c>
      <c r="C300" s="127" t="str">
        <f>IF(Egresos!$B300="","",TEXT(Egresos!$B300,"MMMM" ))</f>
        <v>diciembre</v>
      </c>
      <c r="D300" s="16" t="s">
        <v>142</v>
      </c>
      <c r="E300" s="17" t="s">
        <v>395</v>
      </c>
      <c r="F300" s="16" t="s">
        <v>118</v>
      </c>
      <c r="G300" s="35">
        <f>TablaEgreso[[#This Row],[Egreso Total]]-TablaEgreso[[#This Row],[Total Crédito Fiscal]]</f>
        <v>2600</v>
      </c>
      <c r="H300" s="16"/>
      <c r="I300" s="31">
        <f>IF(TablaEgreso[[#This Row],[Crédito Fiscal]]="Si",Configuración!$B$26,0)</f>
        <v>0</v>
      </c>
      <c r="J300" s="32">
        <f>TablaEgreso[[#This Row],[Egreso Total]]*TablaEgreso[[#This Row],[% de Crédito Fiscal]]</f>
        <v>0</v>
      </c>
      <c r="K300" s="146">
        <v>2600</v>
      </c>
    </row>
    <row r="301" spans="2:11" ht="20.100000000000001" customHeight="1" x14ac:dyDescent="0.25">
      <c r="B301" s="140">
        <v>45643</v>
      </c>
      <c r="C301" s="127" t="str">
        <f>IF(Egresos!$B301="","",TEXT(Egresos!$B301,"MMMM" ))</f>
        <v>diciembre</v>
      </c>
      <c r="D301" s="16" t="s">
        <v>142</v>
      </c>
      <c r="E301" s="17" t="s">
        <v>396</v>
      </c>
      <c r="F301" s="16" t="s">
        <v>118</v>
      </c>
      <c r="G301" s="35">
        <f>TablaEgreso[[#This Row],[Egreso Total]]-TablaEgreso[[#This Row],[Total Crédito Fiscal]]</f>
        <v>2000</v>
      </c>
      <c r="H301" s="16"/>
      <c r="I301" s="31">
        <f>IF(TablaEgreso[[#This Row],[Crédito Fiscal]]="Si",Configuración!$B$26,0)</f>
        <v>0</v>
      </c>
      <c r="J301" s="32">
        <f>TablaEgreso[[#This Row],[Egreso Total]]*TablaEgreso[[#This Row],[% de Crédito Fiscal]]</f>
        <v>0</v>
      </c>
      <c r="K301" s="146">
        <v>2000</v>
      </c>
    </row>
    <row r="302" spans="2:11" ht="20.100000000000001" customHeight="1" x14ac:dyDescent="0.25">
      <c r="B302" s="140">
        <v>45643</v>
      </c>
      <c r="C302" s="127" t="str">
        <f>IF(Egresos!$B302="","",TEXT(Egresos!$B302,"MMMM" ))</f>
        <v>diciembre</v>
      </c>
      <c r="D302" s="16" t="s">
        <v>142</v>
      </c>
      <c r="E302" s="17" t="s">
        <v>479</v>
      </c>
      <c r="F302" s="16" t="s">
        <v>118</v>
      </c>
      <c r="G302" s="35">
        <f>TablaEgreso[[#This Row],[Egreso Total]]-TablaEgreso[[#This Row],[Total Crédito Fiscal]]</f>
        <v>1720</v>
      </c>
      <c r="H302" s="16"/>
      <c r="I302" s="31">
        <f>IF(TablaEgreso[[#This Row],[Crédito Fiscal]]="Si",Configuración!$B$26,0)</f>
        <v>0</v>
      </c>
      <c r="J302" s="32">
        <f>TablaEgreso[[#This Row],[Egreso Total]]*TablaEgreso[[#This Row],[% de Crédito Fiscal]]</f>
        <v>0</v>
      </c>
      <c r="K302" s="146">
        <v>1720</v>
      </c>
    </row>
    <row r="303" spans="2:11" ht="20.100000000000001" customHeight="1" x14ac:dyDescent="0.25">
      <c r="B303" s="140">
        <v>45633</v>
      </c>
      <c r="C303" s="127" t="str">
        <f>IF(Egresos!$B76="","",TEXT(Egresos!$B76,"MMMM" ))</f>
        <v>diciembre</v>
      </c>
      <c r="D303" s="16" t="s">
        <v>19</v>
      </c>
      <c r="E303" s="17" t="s">
        <v>212</v>
      </c>
      <c r="F303" s="16" t="s">
        <v>119</v>
      </c>
      <c r="G303" s="35">
        <f>TablaEgreso[[#This Row],[Egreso Total]]-TablaEgreso[[#This Row],[Total Crédito Fiscal]]</f>
        <v>650000</v>
      </c>
      <c r="H303" s="16"/>
      <c r="I303" s="31">
        <f>IF(TablaEgreso[[#This Row],[Crédito Fiscal]]="Si",Configuración!$B$26,0)</f>
        <v>0</v>
      </c>
      <c r="J303" s="32">
        <f>TablaEgreso[[#This Row],[Egreso Total]]*TablaEgreso[[#This Row],[% de Crédito Fiscal]]</f>
        <v>0</v>
      </c>
      <c r="K303" s="146">
        <v>650000</v>
      </c>
    </row>
    <row r="304" spans="2:11" ht="20.100000000000001" customHeight="1" x14ac:dyDescent="0.25">
      <c r="B304" s="140">
        <v>45643</v>
      </c>
      <c r="C304" s="127" t="str">
        <f>IF(Egresos!$B304="","",TEXT(Egresos!$B304,"MMMM" ))</f>
        <v>diciembre</v>
      </c>
      <c r="D304" s="16" t="s">
        <v>114</v>
      </c>
      <c r="E304" s="17" t="s">
        <v>397</v>
      </c>
      <c r="F304" s="16" t="s">
        <v>119</v>
      </c>
      <c r="G304" s="35">
        <f>TablaEgreso[[#This Row],[Egreso Total]]-TablaEgreso[[#This Row],[Total Crédito Fiscal]]</f>
        <v>0</v>
      </c>
      <c r="H304" s="16"/>
      <c r="I304" s="31">
        <f>IF(TablaEgreso[[#This Row],[Crédito Fiscal]]="Si",Configuración!$B$26,0)</f>
        <v>0</v>
      </c>
      <c r="J304" s="32">
        <f>TablaEgreso[[#This Row],[Egreso Total]]*TablaEgreso[[#This Row],[% de Crédito Fiscal]]</f>
        <v>0</v>
      </c>
      <c r="K304" s="146">
        <v>0</v>
      </c>
    </row>
    <row r="305" spans="2:11" ht="20.100000000000001" customHeight="1" x14ac:dyDescent="0.25">
      <c r="B305" s="140">
        <v>45628</v>
      </c>
      <c r="C305" s="127" t="str">
        <f>IF(Egresos!$B16="","",TEXT(Egresos!$B16,"MMMM" ))</f>
        <v>diciembre</v>
      </c>
      <c r="D305" s="16" t="s">
        <v>19</v>
      </c>
      <c r="E305" s="17" t="s">
        <v>156</v>
      </c>
      <c r="F305" s="16" t="s">
        <v>119</v>
      </c>
      <c r="G305" s="35">
        <f>TablaEgreso[[#This Row],[Egreso Total]]-TablaEgreso[[#This Row],[Total Crédito Fiscal]]</f>
        <v>100000</v>
      </c>
      <c r="H305" s="16"/>
      <c r="I305" s="31">
        <f>IF(TablaEgreso[[#This Row],[Crédito Fiscal]]="Si",Configuración!$B$26,0)</f>
        <v>0</v>
      </c>
      <c r="J305" s="32">
        <f>TablaEgreso[[#This Row],[Egreso Total]]*TablaEgreso[[#This Row],[% de Crédito Fiscal]]</f>
        <v>0</v>
      </c>
      <c r="K305" s="146">
        <v>100000</v>
      </c>
    </row>
    <row r="306" spans="2:11" ht="20.100000000000001" customHeight="1" x14ac:dyDescent="0.25">
      <c r="B306" s="140">
        <v>45643</v>
      </c>
      <c r="C306" s="127" t="str">
        <f>IF(Egresos!$B306="","",TEXT(Egresos!$B306,"MMMM" ))</f>
        <v>diciembre</v>
      </c>
      <c r="D306" s="16" t="s">
        <v>113</v>
      </c>
      <c r="E306" s="17" t="s">
        <v>172</v>
      </c>
      <c r="F306" s="16" t="s">
        <v>120</v>
      </c>
      <c r="G306" s="35">
        <f>TablaEgreso[[#This Row],[Egreso Total]]-TablaEgreso[[#This Row],[Total Crédito Fiscal]]</f>
        <v>6000</v>
      </c>
      <c r="H306" s="16"/>
      <c r="I306" s="31">
        <f>IF(TablaEgreso[[#This Row],[Crédito Fiscal]]="Si",Configuración!$B$26,0)</f>
        <v>0</v>
      </c>
      <c r="J306" s="32">
        <f>TablaEgreso[[#This Row],[Egreso Total]]*TablaEgreso[[#This Row],[% de Crédito Fiscal]]</f>
        <v>0</v>
      </c>
      <c r="K306" s="146">
        <v>6000</v>
      </c>
    </row>
    <row r="307" spans="2:11" ht="20.100000000000001" customHeight="1" x14ac:dyDescent="0.25">
      <c r="B307" s="140">
        <v>45643</v>
      </c>
      <c r="C307" s="127" t="str">
        <f>IF(Egresos!$B307="","",TEXT(Egresos!$B307,"MMMM" ))</f>
        <v>diciembre</v>
      </c>
      <c r="D307" s="16" t="s">
        <v>113</v>
      </c>
      <c r="E307" s="17" t="s">
        <v>171</v>
      </c>
      <c r="F307" s="16" t="s">
        <v>120</v>
      </c>
      <c r="G307" s="35">
        <f>TablaEgreso[[#This Row],[Egreso Total]]-TablaEgreso[[#This Row],[Total Crédito Fiscal]]</f>
        <v>240000</v>
      </c>
      <c r="H307" s="16"/>
      <c r="I307" s="31">
        <f>IF(TablaEgreso[[#This Row],[Crédito Fiscal]]="Si",Configuración!$B$26,0)</f>
        <v>0</v>
      </c>
      <c r="J307" s="32">
        <f>TablaEgreso[[#This Row],[Egreso Total]]*TablaEgreso[[#This Row],[% de Crédito Fiscal]]</f>
        <v>0</v>
      </c>
      <c r="K307" s="146">
        <v>240000</v>
      </c>
    </row>
    <row r="308" spans="2:11" ht="20.100000000000001" customHeight="1" x14ac:dyDescent="0.25">
      <c r="B308" s="140">
        <v>45643</v>
      </c>
      <c r="C308" s="127" t="str">
        <f>IF(Egresos!$B308="","",TEXT(Egresos!$B308,"MMMM" ))</f>
        <v>diciembre</v>
      </c>
      <c r="D308" s="16" t="s">
        <v>103</v>
      </c>
      <c r="E308" s="17" t="s">
        <v>399</v>
      </c>
      <c r="F308" s="16" t="s">
        <v>120</v>
      </c>
      <c r="G308" s="35">
        <f>TablaEgreso[[#This Row],[Egreso Total]]-TablaEgreso[[#This Row],[Total Crédito Fiscal]]</f>
        <v>63606</v>
      </c>
      <c r="H308" s="16"/>
      <c r="I308" s="31">
        <f>IF(TablaEgreso[[#This Row],[Crédito Fiscal]]="Si",Configuración!$B$26,0)</f>
        <v>0</v>
      </c>
      <c r="J308" s="32">
        <f>TablaEgreso[[#This Row],[Egreso Total]]*TablaEgreso[[#This Row],[% de Crédito Fiscal]]</f>
        <v>0</v>
      </c>
      <c r="K308" s="146">
        <v>63606</v>
      </c>
    </row>
    <row r="309" spans="2:11" ht="20.100000000000001" customHeight="1" x14ac:dyDescent="0.25">
      <c r="B309" s="140">
        <v>45643</v>
      </c>
      <c r="C309" s="127" t="str">
        <f>IF(Egresos!$B309="","",TEXT(Egresos!$B309,"MMMM" ))</f>
        <v>diciembre</v>
      </c>
      <c r="D309" s="16" t="s">
        <v>112</v>
      </c>
      <c r="E309" s="17" t="s">
        <v>400</v>
      </c>
      <c r="F309" s="16" t="s">
        <v>120</v>
      </c>
      <c r="G309" s="35">
        <f>TablaEgreso[[#This Row],[Egreso Total]]-TablaEgreso[[#This Row],[Total Crédito Fiscal]]</f>
        <v>16000</v>
      </c>
      <c r="H309" s="16"/>
      <c r="I309" s="31">
        <f>IF(TablaEgreso[[#This Row],[Crédito Fiscal]]="Si",Configuración!$B$26,0)</f>
        <v>0</v>
      </c>
      <c r="J309" s="32">
        <f>TablaEgreso[[#This Row],[Egreso Total]]*TablaEgreso[[#This Row],[% de Crédito Fiscal]]</f>
        <v>0</v>
      </c>
      <c r="K309" s="146">
        <v>16000</v>
      </c>
    </row>
    <row r="310" spans="2:11" ht="20.100000000000001" customHeight="1" x14ac:dyDescent="0.25">
      <c r="B310" s="140">
        <v>45643</v>
      </c>
      <c r="C310" s="127" t="str">
        <f>IF(Egresos!$B305="","",TEXT(Egresos!$B305,"MMMM" ))</f>
        <v>diciembre</v>
      </c>
      <c r="D310" s="16" t="s">
        <v>113</v>
      </c>
      <c r="E310" s="17" t="s">
        <v>398</v>
      </c>
      <c r="F310" s="16" t="s">
        <v>119</v>
      </c>
      <c r="G310" s="35">
        <f>TablaEgreso[[#This Row],[Egreso Total]]-TablaEgreso[[#This Row],[Total Crédito Fiscal]]</f>
        <v>86300</v>
      </c>
      <c r="H310" s="16"/>
      <c r="I310" s="31">
        <f>IF(TablaEgreso[[#This Row],[Crédito Fiscal]]="Si",Configuración!$B$26,0)</f>
        <v>0</v>
      </c>
      <c r="J310" s="32">
        <f>TablaEgreso[[#This Row],[Egreso Total]]*TablaEgreso[[#This Row],[% de Crédito Fiscal]]</f>
        <v>0</v>
      </c>
      <c r="K310" s="146">
        <v>86300</v>
      </c>
    </row>
    <row r="311" spans="2:11" ht="20.100000000000001" customHeight="1" x14ac:dyDescent="0.25">
      <c r="B311" s="140">
        <v>45643</v>
      </c>
      <c r="C311" s="127" t="str">
        <f>IF(Egresos!$B311="","",TEXT(Egresos!$B311,"MMMM" ))</f>
        <v>diciembre</v>
      </c>
      <c r="D311" s="16" t="s">
        <v>116</v>
      </c>
      <c r="E311" s="17" t="s">
        <v>402</v>
      </c>
      <c r="F311" s="16" t="s">
        <v>13</v>
      </c>
      <c r="G311" s="35">
        <f>TablaEgreso[[#This Row],[Egreso Total]]-TablaEgreso[[#This Row],[Total Crédito Fiscal]]</f>
        <v>59026.879999999997</v>
      </c>
      <c r="H311" s="16"/>
      <c r="I311" s="31">
        <f>IF(TablaEgreso[[#This Row],[Crédito Fiscal]]="Si",Configuración!$B$26,0)</f>
        <v>0</v>
      </c>
      <c r="J311" s="32">
        <f>TablaEgreso[[#This Row],[Egreso Total]]*TablaEgreso[[#This Row],[% de Crédito Fiscal]]</f>
        <v>0</v>
      </c>
      <c r="K311" s="146">
        <v>59026.879999999997</v>
      </c>
    </row>
    <row r="312" spans="2:11" ht="20.100000000000001" customHeight="1" x14ac:dyDescent="0.25">
      <c r="B312" s="140">
        <v>45629</v>
      </c>
      <c r="C312" s="127" t="str">
        <f>IF(Egresos!$B312="","",TEXT(Egresos!$B312,"MMMM" ))</f>
        <v>diciembre</v>
      </c>
      <c r="D312" s="16" t="s">
        <v>113</v>
      </c>
      <c r="E312" s="17" t="s">
        <v>403</v>
      </c>
      <c r="F312" s="16" t="s">
        <v>121</v>
      </c>
      <c r="G312" s="35">
        <f>TablaEgreso[[#This Row],[Egreso Total]]-TablaEgreso[[#This Row],[Total Crédito Fiscal]]</f>
        <v>104430.44</v>
      </c>
      <c r="H312" s="16"/>
      <c r="I312" s="31">
        <f>IF(TablaEgreso[[#This Row],[Crédito Fiscal]]="Si",Configuración!$B$26,0)</f>
        <v>0</v>
      </c>
      <c r="J312" s="32">
        <f>TablaEgreso[[#This Row],[Egreso Total]]*TablaEgreso[[#This Row],[% de Crédito Fiscal]]</f>
        <v>0</v>
      </c>
      <c r="K312" s="146">
        <v>104430.44</v>
      </c>
    </row>
    <row r="313" spans="2:11" ht="20.100000000000001" customHeight="1" x14ac:dyDescent="0.25">
      <c r="B313" s="140">
        <v>45638</v>
      </c>
      <c r="C313" s="127" t="str">
        <f>IF(Egresos!$B221="","",TEXT(Egresos!$B221,"MMMM" ))</f>
        <v>diciembre</v>
      </c>
      <c r="D313" s="16" t="s">
        <v>146</v>
      </c>
      <c r="E313" s="17" t="s">
        <v>336</v>
      </c>
      <c r="F313" s="16" t="s">
        <v>13</v>
      </c>
      <c r="G313" s="35">
        <f>TablaEgreso[[#This Row],[Egreso Total]]-TablaEgreso[[#This Row],[Total Crédito Fiscal]]</f>
        <v>3712845.88</v>
      </c>
      <c r="H313" s="16"/>
      <c r="I313" s="31">
        <f>IF(TablaEgreso[[#This Row],[Crédito Fiscal]]="Si",Configuración!$B$26,0)</f>
        <v>0</v>
      </c>
      <c r="J313" s="32">
        <f>TablaEgreso[[#This Row],[Egreso Total]]*TablaEgreso[[#This Row],[% de Crédito Fiscal]]</f>
        <v>0</v>
      </c>
      <c r="K313" s="146">
        <v>3712845.88</v>
      </c>
    </row>
    <row r="314" spans="2:11" ht="20.100000000000001" customHeight="1" x14ac:dyDescent="0.25">
      <c r="B314" s="140">
        <v>45632</v>
      </c>
      <c r="C314" s="127" t="str">
        <f>IF(Egresos!$B115="","",TEXT(Egresos!$B115,"MMMM" ))</f>
        <v>diciembre</v>
      </c>
      <c r="D314" s="16" t="s">
        <v>117</v>
      </c>
      <c r="E314" s="17" t="s">
        <v>241</v>
      </c>
      <c r="F314" s="16" t="s">
        <v>13</v>
      </c>
      <c r="G314" s="35">
        <f>TablaEgreso[[#This Row],[Egreso Total]]-TablaEgreso[[#This Row],[Total Crédito Fiscal]]</f>
        <v>12416.67</v>
      </c>
      <c r="H314" s="16"/>
      <c r="I314" s="31">
        <f>IF(TablaEgreso[[#This Row],[Crédito Fiscal]]="Si",Configuración!$B$26,0)</f>
        <v>0</v>
      </c>
      <c r="J314" s="32">
        <f>TablaEgreso[[#This Row],[Egreso Total]]*TablaEgreso[[#This Row],[% de Crédito Fiscal]]</f>
        <v>0</v>
      </c>
      <c r="K314" s="146">
        <v>12416.67</v>
      </c>
    </row>
    <row r="315" spans="2:11" ht="20.100000000000001" customHeight="1" x14ac:dyDescent="0.25">
      <c r="B315" s="140">
        <v>45632</v>
      </c>
      <c r="C315" s="127" t="str">
        <f>IF(Egresos!$B315="","",TEXT(Egresos!$B315,"MMMM" ))</f>
        <v>diciembre</v>
      </c>
      <c r="D315" s="16" t="s">
        <v>113</v>
      </c>
      <c r="E315" s="17" t="s">
        <v>406</v>
      </c>
      <c r="F315" s="16" t="s">
        <v>121</v>
      </c>
      <c r="G315" s="35">
        <f>TablaEgreso[[#This Row],[Egreso Total]]-TablaEgreso[[#This Row],[Total Crédito Fiscal]]</f>
        <v>1000000</v>
      </c>
      <c r="H315" s="16"/>
      <c r="I315" s="31">
        <f>IF(TablaEgreso[[#This Row],[Crédito Fiscal]]="Si",Configuración!$B$26,0)</f>
        <v>0</v>
      </c>
      <c r="J315" s="32">
        <f>TablaEgreso[[#This Row],[Egreso Total]]*TablaEgreso[[#This Row],[% de Crédito Fiscal]]</f>
        <v>0</v>
      </c>
      <c r="K315" s="146">
        <v>1000000</v>
      </c>
    </row>
    <row r="316" spans="2:11" ht="20.100000000000001" customHeight="1" x14ac:dyDescent="0.25">
      <c r="B316" s="140">
        <v>45629</v>
      </c>
      <c r="C316" s="127" t="str">
        <f>IF(Egresos!$B316="","",TEXT(Egresos!$B316,"MMMM" ))</f>
        <v>diciembre</v>
      </c>
      <c r="D316" s="16" t="s">
        <v>113</v>
      </c>
      <c r="E316" s="17" t="s">
        <v>407</v>
      </c>
      <c r="F316" s="16" t="s">
        <v>121</v>
      </c>
      <c r="G316" s="35">
        <f>TablaEgreso[[#This Row],[Egreso Total]]-TablaEgreso[[#This Row],[Total Crédito Fiscal]]</f>
        <v>525290</v>
      </c>
      <c r="H316" s="16"/>
      <c r="I316" s="31">
        <f>IF(TablaEgreso[[#This Row],[Crédito Fiscal]]="Si",Configuración!$B$26,0)</f>
        <v>0</v>
      </c>
      <c r="J316" s="32">
        <f>TablaEgreso[[#This Row],[Egreso Total]]*TablaEgreso[[#This Row],[% de Crédito Fiscal]]</f>
        <v>0</v>
      </c>
      <c r="K316" s="146">
        <v>525290</v>
      </c>
    </row>
    <row r="317" spans="2:11" ht="20.100000000000001" customHeight="1" x14ac:dyDescent="0.25">
      <c r="B317" s="140">
        <v>45628</v>
      </c>
      <c r="C317" s="127" t="str">
        <f>IF(Egresos!$B317="","",TEXT(Egresos!$B317,"MMMM" ))</f>
        <v>diciembre</v>
      </c>
      <c r="D317" s="16" t="s">
        <v>108</v>
      </c>
      <c r="E317" s="17" t="s">
        <v>408</v>
      </c>
      <c r="F317" s="16" t="s">
        <v>121</v>
      </c>
      <c r="G317" s="35">
        <f>TablaEgreso[[#This Row],[Egreso Total]]-TablaEgreso[[#This Row],[Total Crédito Fiscal]]</f>
        <v>74296.7</v>
      </c>
      <c r="H317" s="16"/>
      <c r="I317" s="31">
        <f>IF(TablaEgreso[[#This Row],[Crédito Fiscal]]="Si",Configuración!$B$26,0)</f>
        <v>0</v>
      </c>
      <c r="J317" s="32">
        <f>TablaEgreso[[#This Row],[Egreso Total]]*TablaEgreso[[#This Row],[% de Crédito Fiscal]]</f>
        <v>0</v>
      </c>
      <c r="K317" s="146">
        <v>74296.7</v>
      </c>
    </row>
    <row r="318" spans="2:11" ht="20.100000000000001" customHeight="1" x14ac:dyDescent="0.25">
      <c r="B318" s="140">
        <v>45629</v>
      </c>
      <c r="C318" s="127" t="str">
        <f>IF(Egresos!$B318="","",TEXT(Egresos!$B318,"MMMM" ))</f>
        <v>diciembre</v>
      </c>
      <c r="D318" s="16" t="s">
        <v>113</v>
      </c>
      <c r="E318" s="17" t="s">
        <v>409</v>
      </c>
      <c r="F318" s="16" t="s">
        <v>121</v>
      </c>
      <c r="G318" s="35">
        <f>TablaEgreso[[#This Row],[Egreso Total]]-TablaEgreso[[#This Row],[Total Crédito Fiscal]]</f>
        <v>143904.72</v>
      </c>
      <c r="H318" s="16"/>
      <c r="I318" s="31">
        <f>IF(TablaEgreso[[#This Row],[Crédito Fiscal]]="Si",Configuración!$B$26,0)</f>
        <v>0</v>
      </c>
      <c r="J318" s="32">
        <f>TablaEgreso[[#This Row],[Egreso Total]]*TablaEgreso[[#This Row],[% de Crédito Fiscal]]</f>
        <v>0</v>
      </c>
      <c r="K318" s="146">
        <v>143904.72</v>
      </c>
    </row>
    <row r="319" spans="2:11" ht="20.100000000000001" customHeight="1" x14ac:dyDescent="0.25">
      <c r="B319" s="140">
        <v>45638</v>
      </c>
      <c r="C319" s="127" t="str">
        <f>IF(Egresos!$B215="","",TEXT(Egresos!$B215,"MMMM" ))</f>
        <v>diciembre</v>
      </c>
      <c r="D319" s="16" t="s">
        <v>110</v>
      </c>
      <c r="E319" s="17" t="s">
        <v>330</v>
      </c>
      <c r="F319" s="16" t="s">
        <v>119</v>
      </c>
      <c r="G319" s="35">
        <f>TablaEgreso[[#This Row],[Egreso Total]]-TablaEgreso[[#This Row],[Total Crédito Fiscal]]</f>
        <v>37400</v>
      </c>
      <c r="H319" s="16"/>
      <c r="I319" s="31">
        <f>IF(TablaEgreso[[#This Row],[Crédito Fiscal]]="Si",Configuración!$B$26,0)</f>
        <v>0</v>
      </c>
      <c r="J319" s="32">
        <f>TablaEgreso[[#This Row],[Egreso Total]]*TablaEgreso[[#This Row],[% de Crédito Fiscal]]</f>
        <v>0</v>
      </c>
      <c r="K319" s="146">
        <v>37400</v>
      </c>
    </row>
    <row r="320" spans="2:11" ht="20.100000000000001" customHeight="1" x14ac:dyDescent="0.25">
      <c r="B320" s="140" t="s">
        <v>425</v>
      </c>
      <c r="C320" s="127" t="str">
        <f>IF(Egresos!$B320="","",TEXT(Egresos!$B320,"MMMM" ))</f>
        <v>t</v>
      </c>
      <c r="D320" s="16" t="s">
        <v>113</v>
      </c>
      <c r="E320" s="17" t="s">
        <v>411</v>
      </c>
      <c r="F320" s="16" t="s">
        <v>121</v>
      </c>
      <c r="G320" s="35">
        <f>TablaEgreso[[#This Row],[Egreso Total]]-TablaEgreso[[#This Row],[Total Crédito Fiscal]]</f>
        <v>229642.62</v>
      </c>
      <c r="H320" s="16"/>
      <c r="I320" s="31">
        <f>IF(TablaEgreso[[#This Row],[Crédito Fiscal]]="Si",Configuración!$B$26,0)</f>
        <v>0</v>
      </c>
      <c r="J320" s="32">
        <f>TablaEgreso[[#This Row],[Egreso Total]]*TablaEgreso[[#This Row],[% de Crédito Fiscal]]</f>
        <v>0</v>
      </c>
      <c r="K320" s="146">
        <v>229642.62</v>
      </c>
    </row>
    <row r="321" spans="2:11" ht="20.100000000000001" customHeight="1" x14ac:dyDescent="0.25">
      <c r="B321" s="140">
        <v>45635</v>
      </c>
      <c r="C321" s="127" t="str">
        <f>IF(Egresos!$B321="","",TEXT(Egresos!$B321,"MMMM" ))</f>
        <v>diciembre</v>
      </c>
      <c r="D321" s="16" t="s">
        <v>108</v>
      </c>
      <c r="E321" s="17" t="s">
        <v>412</v>
      </c>
      <c r="F321" s="16" t="s">
        <v>121</v>
      </c>
      <c r="G321" s="35">
        <f>TablaEgreso[[#This Row],[Egreso Total]]-TablaEgreso[[#This Row],[Total Crédito Fiscal]]</f>
        <v>43792.46</v>
      </c>
      <c r="H321" s="16"/>
      <c r="I321" s="31">
        <f>IF(TablaEgreso[[#This Row],[Crédito Fiscal]]="Si",Configuración!$B$26,0)</f>
        <v>0</v>
      </c>
      <c r="J321" s="32">
        <f>TablaEgreso[[#This Row],[Egreso Total]]*TablaEgreso[[#This Row],[% de Crédito Fiscal]]</f>
        <v>0</v>
      </c>
      <c r="K321" s="146">
        <v>43792.46</v>
      </c>
    </row>
    <row r="322" spans="2:11" ht="20.100000000000001" customHeight="1" x14ac:dyDescent="0.25">
      <c r="B322" s="140">
        <v>45643</v>
      </c>
      <c r="C322" s="127" t="str">
        <f>IF(Egresos!$B322="","",TEXT(Egresos!$B322,"MMMM" ))</f>
        <v>diciembre</v>
      </c>
      <c r="D322" s="16" t="s">
        <v>113</v>
      </c>
      <c r="E322" s="17" t="s">
        <v>416</v>
      </c>
      <c r="F322" s="16" t="s">
        <v>121</v>
      </c>
      <c r="G322" s="35">
        <f>TablaEgreso[[#This Row],[Egreso Total]]-TablaEgreso[[#This Row],[Total Crédito Fiscal]]</f>
        <v>34877.67</v>
      </c>
      <c r="H322" s="16"/>
      <c r="I322" s="31">
        <f>IF(TablaEgreso[[#This Row],[Crédito Fiscal]]="Si",Configuración!$B$26,0)</f>
        <v>0</v>
      </c>
      <c r="J322" s="32">
        <f>TablaEgreso[[#This Row],[Egreso Total]]*TablaEgreso[[#This Row],[% de Crédito Fiscal]]</f>
        <v>0</v>
      </c>
      <c r="K322" s="146">
        <v>34877.67</v>
      </c>
    </row>
    <row r="323" spans="2:11" ht="20.100000000000001" customHeight="1" x14ac:dyDescent="0.25">
      <c r="B323" s="140">
        <v>45643</v>
      </c>
      <c r="C323" s="127" t="str">
        <f>IF(Egresos!$B323="","",TEXT(Egresos!$B323,"MMMM" ))</f>
        <v>diciembre</v>
      </c>
      <c r="D323" s="16" t="s">
        <v>113</v>
      </c>
      <c r="E323" s="17" t="s">
        <v>417</v>
      </c>
      <c r="F323" s="16" t="s">
        <v>121</v>
      </c>
      <c r="G323" s="35">
        <f>TablaEgreso[[#This Row],[Egreso Total]]-TablaEgreso[[#This Row],[Total Crédito Fiscal]]</f>
        <v>363528.4</v>
      </c>
      <c r="H323" s="16"/>
      <c r="I323" s="31">
        <f>IF(TablaEgreso[[#This Row],[Crédito Fiscal]]="Si",Configuración!$B$26,0)</f>
        <v>0</v>
      </c>
      <c r="J323" s="32">
        <f>TablaEgreso[[#This Row],[Egreso Total]]*TablaEgreso[[#This Row],[% de Crédito Fiscal]]</f>
        <v>0</v>
      </c>
      <c r="K323" s="146">
        <v>363528.4</v>
      </c>
    </row>
    <row r="324" spans="2:11" ht="20.100000000000001" customHeight="1" x14ac:dyDescent="0.25">
      <c r="B324" s="140">
        <v>45639</v>
      </c>
      <c r="C324" s="127" t="str">
        <f>IF(Egresos!$B324="","",TEXT(Egresos!$B324,"MMMM" ))</f>
        <v>diciembre</v>
      </c>
      <c r="D324" s="16" t="s">
        <v>108</v>
      </c>
      <c r="E324" s="17" t="s">
        <v>418</v>
      </c>
      <c r="F324" s="16" t="s">
        <v>121</v>
      </c>
      <c r="G324" s="35">
        <f>TablaEgreso[[#This Row],[Egreso Total]]-TablaEgreso[[#This Row],[Total Crédito Fiscal]]</f>
        <v>1000000</v>
      </c>
      <c r="H324" s="16"/>
      <c r="I324" s="31">
        <f>IF(TablaEgreso[[#This Row],[Crédito Fiscal]]="Si",Configuración!$B$26,0)</f>
        <v>0</v>
      </c>
      <c r="J324" s="32">
        <f>TablaEgreso[[#This Row],[Egreso Total]]*TablaEgreso[[#This Row],[% de Crédito Fiscal]]</f>
        <v>0</v>
      </c>
      <c r="K324" s="146">
        <v>1000000</v>
      </c>
    </row>
    <row r="325" spans="2:11" ht="20.100000000000001" customHeight="1" x14ac:dyDescent="0.25">
      <c r="B325" s="140">
        <v>45629</v>
      </c>
      <c r="C325" s="127" t="str">
        <f>IF(Egresos!$B325="","",TEXT(Egresos!$B325,"MMMM" ))</f>
        <v>diciembre</v>
      </c>
      <c r="D325" s="16" t="s">
        <v>138</v>
      </c>
      <c r="E325" s="17" t="s">
        <v>422</v>
      </c>
      <c r="F325" s="16" t="s">
        <v>121</v>
      </c>
      <c r="G325" s="35">
        <f>TablaEgreso[[#This Row],[Egreso Total]]-TablaEgreso[[#This Row],[Total Crédito Fiscal]]</f>
        <v>1000000</v>
      </c>
      <c r="H325" s="16"/>
      <c r="I325" s="31">
        <f>IF(TablaEgreso[[#This Row],[Crédito Fiscal]]="Si",Configuración!$B$26,0)</f>
        <v>0</v>
      </c>
      <c r="J325" s="32">
        <f>TablaEgreso[[#This Row],[Egreso Total]]*TablaEgreso[[#This Row],[% de Crédito Fiscal]]</f>
        <v>0</v>
      </c>
      <c r="K325" s="146">
        <v>1000000</v>
      </c>
    </row>
    <row r="326" spans="2:11" ht="20.100000000000001" customHeight="1" x14ac:dyDescent="0.25">
      <c r="B326" s="140">
        <v>45630</v>
      </c>
      <c r="C326" s="127" t="str">
        <f>IF(Egresos!$B326="","",TEXT(Egresos!$B326,"MMMM" ))</f>
        <v>diciembre</v>
      </c>
      <c r="D326" s="16" t="s">
        <v>108</v>
      </c>
      <c r="E326" s="17" t="s">
        <v>423</v>
      </c>
      <c r="F326" s="16" t="s">
        <v>121</v>
      </c>
      <c r="G326" s="35">
        <f>TablaEgreso[[#This Row],[Egreso Total]]-TablaEgreso[[#This Row],[Total Crédito Fiscal]]</f>
        <v>1379400</v>
      </c>
      <c r="H326" s="16"/>
      <c r="I326" s="31">
        <f>IF(TablaEgreso[[#This Row],[Crédito Fiscal]]="Si",Configuración!$B$26,0)</f>
        <v>0</v>
      </c>
      <c r="J326" s="32">
        <f>TablaEgreso[[#This Row],[Egreso Total]]*TablaEgreso[[#This Row],[% de Crédito Fiscal]]</f>
        <v>0</v>
      </c>
      <c r="K326" s="146">
        <v>1379400</v>
      </c>
    </row>
    <row r="327" spans="2:11" ht="20.100000000000001" customHeight="1" x14ac:dyDescent="0.25">
      <c r="B327" s="140">
        <v>45628</v>
      </c>
      <c r="C327" s="127" t="str">
        <f>IF(Egresos!$B327="","",TEXT(Egresos!$B327,"MMMM" ))</f>
        <v>diciembre</v>
      </c>
      <c r="D327" s="16" t="s">
        <v>111</v>
      </c>
      <c r="E327" s="17" t="s">
        <v>424</v>
      </c>
      <c r="F327" s="16" t="s">
        <v>121</v>
      </c>
      <c r="G327" s="35">
        <f>TablaEgreso[[#This Row],[Egreso Total]]-TablaEgreso[[#This Row],[Total Crédito Fiscal]]</f>
        <v>1090265</v>
      </c>
      <c r="H327" s="16"/>
      <c r="I327" s="31">
        <f>IF(TablaEgreso[[#This Row],[Crédito Fiscal]]="Si",Configuración!$B$26,0)</f>
        <v>0</v>
      </c>
      <c r="J327" s="32">
        <f>TablaEgreso[[#This Row],[Egreso Total]]*TablaEgreso[[#This Row],[% de Crédito Fiscal]]</f>
        <v>0</v>
      </c>
      <c r="K327" s="146">
        <v>1090265</v>
      </c>
    </row>
    <row r="328" spans="2:11" ht="20.100000000000001" customHeight="1" x14ac:dyDescent="0.25">
      <c r="B328" s="140">
        <v>45638</v>
      </c>
      <c r="C328" s="127" t="str">
        <f>IF(Egresos!$B328="","",TEXT(Egresos!$B328,"MMMM" ))</f>
        <v>diciembre</v>
      </c>
      <c r="D328" s="16" t="s">
        <v>113</v>
      </c>
      <c r="E328" s="17" t="s">
        <v>429</v>
      </c>
      <c r="F328" s="16" t="s">
        <v>121</v>
      </c>
      <c r="G328" s="35">
        <f>TablaEgreso[[#This Row],[Egreso Total]]-TablaEgreso[[#This Row],[Total Crédito Fiscal]]</f>
        <v>57002.25</v>
      </c>
      <c r="H328" s="16"/>
      <c r="I328" s="31">
        <f>IF(TablaEgreso[[#This Row],[Crédito Fiscal]]="Si",Configuración!$B$26,0)</f>
        <v>0</v>
      </c>
      <c r="J328" s="32">
        <f>TablaEgreso[[#This Row],[Egreso Total]]*TablaEgreso[[#This Row],[% de Crédito Fiscal]]</f>
        <v>0</v>
      </c>
      <c r="K328" s="146">
        <v>57002.25</v>
      </c>
    </row>
    <row r="329" spans="2:11" ht="20.100000000000001" customHeight="1" x14ac:dyDescent="0.25">
      <c r="B329" s="140">
        <v>45636</v>
      </c>
      <c r="C329" s="127" t="str">
        <f>IF(Egresos!$B329="","",TEXT(Egresos!$B329,"MMMM" ))</f>
        <v>diciembre</v>
      </c>
      <c r="D329" s="16" t="s">
        <v>113</v>
      </c>
      <c r="E329" s="17" t="s">
        <v>430</v>
      </c>
      <c r="F329" s="16" t="s">
        <v>121</v>
      </c>
      <c r="G329" s="35">
        <f>TablaEgreso[[#This Row],[Egreso Total]]-TablaEgreso[[#This Row],[Total Crédito Fiscal]]</f>
        <v>219531.9</v>
      </c>
      <c r="H329" s="16"/>
      <c r="I329" s="31">
        <f>IF(TablaEgreso[[#This Row],[Crédito Fiscal]]="Si",Configuración!$B$26,0)</f>
        <v>0</v>
      </c>
      <c r="J329" s="32">
        <f>TablaEgreso[[#This Row],[Egreso Total]]*TablaEgreso[[#This Row],[% de Crédito Fiscal]]</f>
        <v>0</v>
      </c>
      <c r="K329" s="146">
        <v>219531.9</v>
      </c>
    </row>
    <row r="330" spans="2:11" ht="20.100000000000001" customHeight="1" x14ac:dyDescent="0.25">
      <c r="B330" s="140">
        <v>45636</v>
      </c>
      <c r="C330" s="127" t="str">
        <f>IF(Egresos!$B330="","",TEXT(Egresos!$B330,"MMMM" ))</f>
        <v>diciembre</v>
      </c>
      <c r="D330" s="16" t="s">
        <v>113</v>
      </c>
      <c r="E330" s="17" t="s">
        <v>431</v>
      </c>
      <c r="F330" s="16" t="s">
        <v>121</v>
      </c>
      <c r="G330" s="35">
        <f>TablaEgreso[[#This Row],[Egreso Total]]-TablaEgreso[[#This Row],[Total Crédito Fiscal]]</f>
        <v>156921.72</v>
      </c>
      <c r="H330" s="16"/>
      <c r="I330" s="31">
        <f>IF(TablaEgreso[[#This Row],[Crédito Fiscal]]="Si",Configuración!$B$26,0)</f>
        <v>0</v>
      </c>
      <c r="J330" s="32">
        <f>TablaEgreso[[#This Row],[Egreso Total]]*TablaEgreso[[#This Row],[% de Crédito Fiscal]]</f>
        <v>0</v>
      </c>
      <c r="K330" s="146">
        <v>156921.72</v>
      </c>
    </row>
    <row r="331" spans="2:11" ht="20.100000000000001" customHeight="1" x14ac:dyDescent="0.25">
      <c r="B331" s="140">
        <v>45628</v>
      </c>
      <c r="C331" s="127" t="str">
        <f>IF(Egresos!$B331="","",TEXT(Egresos!$B331,"MMMM" ))</f>
        <v>diciembre</v>
      </c>
      <c r="D331" s="16" t="s">
        <v>149</v>
      </c>
      <c r="E331" s="17" t="s">
        <v>432</v>
      </c>
      <c r="F331" s="16" t="s">
        <v>433</v>
      </c>
      <c r="G331" s="35">
        <f>TablaEgreso[[#This Row],[Egreso Total]]-TablaEgreso[[#This Row],[Total Crédito Fiscal]]</f>
        <v>25032.57</v>
      </c>
      <c r="H331" s="16"/>
      <c r="I331" s="31">
        <f>IF(TablaEgreso[[#This Row],[Crédito Fiscal]]="Si",Configuración!$B$26,0)</f>
        <v>0</v>
      </c>
      <c r="J331" s="32">
        <f>TablaEgreso[[#This Row],[Egreso Total]]*TablaEgreso[[#This Row],[% de Crédito Fiscal]]</f>
        <v>0</v>
      </c>
      <c r="K331" s="146">
        <v>25032.57</v>
      </c>
    </row>
    <row r="332" spans="2:11" ht="20.100000000000001" customHeight="1" x14ac:dyDescent="0.25">
      <c r="B332" s="140">
        <v>45629</v>
      </c>
      <c r="C332" s="127" t="str">
        <f>IF(Egresos!$B332="","",TEXT(Egresos!$B332,"MMMM" ))</f>
        <v>diciembre</v>
      </c>
      <c r="D332" s="16" t="s">
        <v>149</v>
      </c>
      <c r="E332" s="17" t="s">
        <v>432</v>
      </c>
      <c r="F332" s="16" t="s">
        <v>433</v>
      </c>
      <c r="G332" s="35">
        <f>TablaEgreso[[#This Row],[Egreso Total]]-TablaEgreso[[#This Row],[Total Crédito Fiscal]]</f>
        <v>1469.67</v>
      </c>
      <c r="H332" s="16"/>
      <c r="I332" s="31">
        <f>IF(TablaEgreso[[#This Row],[Crédito Fiscal]]="Si",Configuración!$B$26,0)</f>
        <v>0</v>
      </c>
      <c r="J332" s="32">
        <f>TablaEgreso[[#This Row],[Egreso Total]]*TablaEgreso[[#This Row],[% de Crédito Fiscal]]</f>
        <v>0</v>
      </c>
      <c r="K332" s="146">
        <v>1469.67</v>
      </c>
    </row>
    <row r="333" spans="2:11" ht="20.100000000000001" customHeight="1" x14ac:dyDescent="0.25">
      <c r="B333" s="140">
        <v>45630</v>
      </c>
      <c r="C333" s="127" t="str">
        <f>IF(Egresos!$B333="","",TEXT(Egresos!$B333,"MMMM" ))</f>
        <v>diciembre</v>
      </c>
      <c r="D333" s="16" t="s">
        <v>149</v>
      </c>
      <c r="E333" s="17" t="s">
        <v>432</v>
      </c>
      <c r="F333" s="16" t="s">
        <v>433</v>
      </c>
      <c r="G333" s="35">
        <f>TablaEgreso[[#This Row],[Egreso Total]]-TablaEgreso[[#This Row],[Total Crédito Fiscal]]</f>
        <v>2541.96</v>
      </c>
      <c r="H333" s="16"/>
      <c r="I333" s="31">
        <f>IF(TablaEgreso[[#This Row],[Crédito Fiscal]]="Si",Configuración!$B$26,0)</f>
        <v>0</v>
      </c>
      <c r="J333" s="32">
        <f>TablaEgreso[[#This Row],[Egreso Total]]*TablaEgreso[[#This Row],[% de Crédito Fiscal]]</f>
        <v>0</v>
      </c>
      <c r="K333" s="146">
        <v>2541.96</v>
      </c>
    </row>
    <row r="334" spans="2:11" ht="20.100000000000001" customHeight="1" x14ac:dyDescent="0.25">
      <c r="B334" s="140">
        <v>45631</v>
      </c>
      <c r="C334" s="127" t="str">
        <f>IF(Egresos!$B334="","",TEXT(Egresos!$B334,"MMMM" ))</f>
        <v>diciembre</v>
      </c>
      <c r="D334" s="16" t="s">
        <v>149</v>
      </c>
      <c r="E334" s="17" t="s">
        <v>432</v>
      </c>
      <c r="F334" s="16" t="s">
        <v>433</v>
      </c>
      <c r="G334" s="35">
        <f>TablaEgreso[[#This Row],[Egreso Total]]-TablaEgreso[[#This Row],[Total Crédito Fiscal]]</f>
        <v>5120.38</v>
      </c>
      <c r="H334" s="16"/>
      <c r="I334" s="31">
        <f>IF(TablaEgreso[[#This Row],[Crédito Fiscal]]="Si",Configuración!$B$26,0)</f>
        <v>0</v>
      </c>
      <c r="J334" s="32">
        <f>TablaEgreso[[#This Row],[Egreso Total]]*TablaEgreso[[#This Row],[% de Crédito Fiscal]]</f>
        <v>0</v>
      </c>
      <c r="K334" s="146">
        <v>5120.38</v>
      </c>
    </row>
    <row r="335" spans="2:11" ht="20.100000000000001" customHeight="1" x14ac:dyDescent="0.25">
      <c r="B335" s="140">
        <v>45632</v>
      </c>
      <c r="C335" s="127" t="str">
        <f>IF(Egresos!$B335="","",TEXT(Egresos!$B335,"MMMM" ))</f>
        <v>diciembre</v>
      </c>
      <c r="D335" s="16" t="s">
        <v>149</v>
      </c>
      <c r="E335" s="17" t="s">
        <v>432</v>
      </c>
      <c r="F335" s="16" t="s">
        <v>433</v>
      </c>
      <c r="G335" s="35">
        <f>TablaEgreso[[#This Row],[Egreso Total]]-TablaEgreso[[#This Row],[Total Crédito Fiscal]]</f>
        <v>4280.93</v>
      </c>
      <c r="H335" s="16"/>
      <c r="I335" s="31">
        <f>IF(TablaEgreso[[#This Row],[Crédito Fiscal]]="Si",Configuración!$B$26,0)</f>
        <v>0</v>
      </c>
      <c r="J335" s="32">
        <f>TablaEgreso[[#This Row],[Egreso Total]]*TablaEgreso[[#This Row],[% de Crédito Fiscal]]</f>
        <v>0</v>
      </c>
      <c r="K335" s="146">
        <v>4280.93</v>
      </c>
    </row>
    <row r="336" spans="2:11" ht="20.100000000000001" customHeight="1" x14ac:dyDescent="0.25">
      <c r="B336" s="140">
        <v>45635</v>
      </c>
      <c r="C336" s="127" t="str">
        <f>IF(Egresos!$B336="","",TEXT(Egresos!$B336,"MMMM" ))</f>
        <v>diciembre</v>
      </c>
      <c r="D336" s="16" t="s">
        <v>149</v>
      </c>
      <c r="E336" s="17" t="s">
        <v>432</v>
      </c>
      <c r="F336" s="16" t="s">
        <v>433</v>
      </c>
      <c r="G336" s="35">
        <f>TablaEgreso[[#This Row],[Egreso Total]]-TablaEgreso[[#This Row],[Total Crédito Fiscal]]</f>
        <v>5408.12</v>
      </c>
      <c r="H336" s="16"/>
      <c r="I336" s="31">
        <f>IF(TablaEgreso[[#This Row],[Crédito Fiscal]]="Si",Configuración!$B$26,0)</f>
        <v>0</v>
      </c>
      <c r="J336" s="32">
        <f>TablaEgreso[[#This Row],[Egreso Total]]*TablaEgreso[[#This Row],[% de Crédito Fiscal]]</f>
        <v>0</v>
      </c>
      <c r="K336" s="146">
        <v>5408.12</v>
      </c>
    </row>
    <row r="337" spans="2:11" ht="20.100000000000001" customHeight="1" x14ac:dyDescent="0.25">
      <c r="B337" s="140">
        <v>45636</v>
      </c>
      <c r="C337" s="127" t="str">
        <f>IF(Egresos!$B337="","",TEXT(Egresos!$B337,"MMMM" ))</f>
        <v>diciembre</v>
      </c>
      <c r="D337" s="16" t="s">
        <v>149</v>
      </c>
      <c r="E337" s="17" t="s">
        <v>432</v>
      </c>
      <c r="F337" s="16" t="s">
        <v>433</v>
      </c>
      <c r="G337" s="35">
        <f>TablaEgreso[[#This Row],[Egreso Total]]-TablaEgreso[[#This Row],[Total Crédito Fiscal]]</f>
        <v>4516.95</v>
      </c>
      <c r="H337" s="16"/>
      <c r="I337" s="31">
        <f>IF(TablaEgreso[[#This Row],[Crédito Fiscal]]="Si",Configuración!$B$26,0)</f>
        <v>0</v>
      </c>
      <c r="J337" s="32">
        <f>TablaEgreso[[#This Row],[Egreso Total]]*TablaEgreso[[#This Row],[% de Crédito Fiscal]]</f>
        <v>0</v>
      </c>
      <c r="K337" s="146">
        <v>4516.95</v>
      </c>
    </row>
    <row r="338" spans="2:11" ht="20.100000000000001" customHeight="1" x14ac:dyDescent="0.25">
      <c r="B338" s="140">
        <v>45637</v>
      </c>
      <c r="C338" s="127" t="str">
        <f>IF(Egresos!$B338="","",TEXT(Egresos!$B338,"MMMM" ))</f>
        <v>diciembre</v>
      </c>
      <c r="D338" s="16" t="s">
        <v>149</v>
      </c>
      <c r="E338" s="17" t="s">
        <v>432</v>
      </c>
      <c r="F338" s="16" t="s">
        <v>433</v>
      </c>
      <c r="G338" s="35">
        <f>TablaEgreso[[#This Row],[Egreso Total]]-TablaEgreso[[#This Row],[Total Crédito Fiscal]]</f>
        <v>1933.83</v>
      </c>
      <c r="H338" s="16"/>
      <c r="I338" s="31">
        <f>IF(TablaEgreso[[#This Row],[Crédito Fiscal]]="Si",Configuración!$B$26,0)</f>
        <v>0</v>
      </c>
      <c r="J338" s="32">
        <f>TablaEgreso[[#This Row],[Egreso Total]]*TablaEgreso[[#This Row],[% de Crédito Fiscal]]</f>
        <v>0</v>
      </c>
      <c r="K338" s="146">
        <v>1933.83</v>
      </c>
    </row>
    <row r="339" spans="2:11" ht="20.100000000000001" customHeight="1" x14ac:dyDescent="0.25">
      <c r="B339" s="140">
        <v>45638</v>
      </c>
      <c r="C339" s="127" t="str">
        <f>IF(Egresos!$B339="","",TEXT(Egresos!$B339,"MMMM" ))</f>
        <v>diciembre</v>
      </c>
      <c r="D339" s="16" t="s">
        <v>149</v>
      </c>
      <c r="E339" s="17" t="s">
        <v>432</v>
      </c>
      <c r="F339" s="16" t="s">
        <v>433</v>
      </c>
      <c r="G339" s="35">
        <f>TablaEgreso[[#This Row],[Egreso Total]]-TablaEgreso[[#This Row],[Total Crédito Fiscal]]</f>
        <v>28544.25</v>
      </c>
      <c r="H339" s="16"/>
      <c r="I339" s="31">
        <f>IF(TablaEgreso[[#This Row],[Crédito Fiscal]]="Si",Configuración!$B$26,0)</f>
        <v>0</v>
      </c>
      <c r="J339" s="32">
        <f>TablaEgreso[[#This Row],[Egreso Total]]*TablaEgreso[[#This Row],[% de Crédito Fiscal]]</f>
        <v>0</v>
      </c>
      <c r="K339" s="146">
        <v>28544.25</v>
      </c>
    </row>
    <row r="340" spans="2:11" ht="20.100000000000001" customHeight="1" x14ac:dyDescent="0.25">
      <c r="B340" s="140">
        <v>45639</v>
      </c>
      <c r="C340" s="127" t="str">
        <f>IF(Egresos!$B340="","",TEXT(Egresos!$B340,"MMMM" ))</f>
        <v>diciembre</v>
      </c>
      <c r="D340" s="16" t="s">
        <v>149</v>
      </c>
      <c r="E340" s="17" t="s">
        <v>432</v>
      </c>
      <c r="F340" s="16" t="s">
        <v>433</v>
      </c>
      <c r="G340" s="35">
        <f>TablaEgreso[[#This Row],[Egreso Total]]-TablaEgreso[[#This Row],[Total Crédito Fiscal]]</f>
        <v>30652.74</v>
      </c>
      <c r="H340" s="16"/>
      <c r="I340" s="31">
        <f>IF(TablaEgreso[[#This Row],[Crédito Fiscal]]="Si",Configuración!$B$26,0)</f>
        <v>0</v>
      </c>
      <c r="J340" s="32">
        <f>TablaEgreso[[#This Row],[Egreso Total]]*TablaEgreso[[#This Row],[% de Crédito Fiscal]]</f>
        <v>0</v>
      </c>
      <c r="K340" s="146">
        <v>30652.74</v>
      </c>
    </row>
    <row r="341" spans="2:11" ht="20.100000000000001" customHeight="1" x14ac:dyDescent="0.25">
      <c r="B341" s="140">
        <v>45642</v>
      </c>
      <c r="C341" s="127" t="str">
        <f>IF(Egresos!$B341="","",TEXT(Egresos!$B341,"MMMM" ))</f>
        <v>diciembre</v>
      </c>
      <c r="D341" s="16" t="s">
        <v>149</v>
      </c>
      <c r="E341" s="17" t="s">
        <v>432</v>
      </c>
      <c r="F341" s="16" t="s">
        <v>433</v>
      </c>
      <c r="G341" s="35">
        <f>TablaEgreso[[#This Row],[Egreso Total]]-TablaEgreso[[#This Row],[Total Crédito Fiscal]]</f>
        <v>11295.74</v>
      </c>
      <c r="H341" s="16"/>
      <c r="I341" s="31">
        <f>IF(TablaEgreso[[#This Row],[Crédito Fiscal]]="Si",Configuración!$B$26,0)</f>
        <v>0</v>
      </c>
      <c r="J341" s="32">
        <f>TablaEgreso[[#This Row],[Egreso Total]]*TablaEgreso[[#This Row],[% de Crédito Fiscal]]</f>
        <v>0</v>
      </c>
      <c r="K341" s="146">
        <v>11295.74</v>
      </c>
    </row>
    <row r="342" spans="2:11" ht="20.100000000000001" customHeight="1" x14ac:dyDescent="0.25">
      <c r="B342" s="140">
        <v>45643</v>
      </c>
      <c r="C342" s="127" t="str">
        <f>IF(Egresos!$B342="","",TEXT(Egresos!$B342,"MMMM" ))</f>
        <v>diciembre</v>
      </c>
      <c r="D342" s="16" t="s">
        <v>149</v>
      </c>
      <c r="E342" s="17" t="s">
        <v>432</v>
      </c>
      <c r="F342" s="16" t="s">
        <v>433</v>
      </c>
      <c r="G342" s="35">
        <f>TablaEgreso[[#This Row],[Egreso Total]]-TablaEgreso[[#This Row],[Total Crédito Fiscal]]</f>
        <v>12407.86</v>
      </c>
      <c r="H342" s="16"/>
      <c r="I342" s="31">
        <f>IF(TablaEgreso[[#This Row],[Crédito Fiscal]]="Si",Configuración!$B$26,0)</f>
        <v>0</v>
      </c>
      <c r="J342" s="32">
        <f>TablaEgreso[[#This Row],[Egreso Total]]*TablaEgreso[[#This Row],[% de Crédito Fiscal]]</f>
        <v>0</v>
      </c>
      <c r="K342" s="146">
        <v>12407.86</v>
      </c>
    </row>
    <row r="343" spans="2:11" ht="20.100000000000001" customHeight="1" x14ac:dyDescent="0.25">
      <c r="B343" s="140">
        <v>45644</v>
      </c>
      <c r="C343" s="127" t="str">
        <f>IF(Egresos!$B343="","",TEXT(Egresos!$B343,"MMMM" ))</f>
        <v>diciembre</v>
      </c>
      <c r="D343" s="16" t="s">
        <v>8</v>
      </c>
      <c r="E343" s="17" t="s">
        <v>240</v>
      </c>
      <c r="F343" s="16" t="s">
        <v>12</v>
      </c>
      <c r="G343" s="35">
        <f>TablaEgreso[[#This Row],[Egreso Total]]-TablaEgreso[[#This Row],[Total Crédito Fiscal]]</f>
        <v>1109967</v>
      </c>
      <c r="H343" s="16"/>
      <c r="I343" s="31">
        <f>IF(TablaEgreso[[#This Row],[Crédito Fiscal]]="Si",Configuración!$B$26,0)</f>
        <v>0</v>
      </c>
      <c r="J343" s="32">
        <f>TablaEgreso[[#This Row],[Egreso Total]]*TablaEgreso[[#This Row],[% de Crédito Fiscal]]</f>
        <v>0</v>
      </c>
      <c r="K343" s="146">
        <v>1109967</v>
      </c>
    </row>
    <row r="344" spans="2:11" ht="20.100000000000001" customHeight="1" x14ac:dyDescent="0.25">
      <c r="B344" s="140">
        <v>45644</v>
      </c>
      <c r="C344" s="127" t="str">
        <f>IF(Egresos!$B344="","",TEXT(Egresos!$B344,"MMMM" ))</f>
        <v>diciembre</v>
      </c>
      <c r="D344" s="16" t="s">
        <v>145</v>
      </c>
      <c r="E344" s="17" t="s">
        <v>436</v>
      </c>
      <c r="F344" s="16" t="s">
        <v>120</v>
      </c>
      <c r="G344" s="35">
        <f>TablaEgreso[[#This Row],[Egreso Total]]-TablaEgreso[[#This Row],[Total Crédito Fiscal]]</f>
        <v>2400</v>
      </c>
      <c r="H344" s="16"/>
      <c r="I344" s="31">
        <f>IF(TablaEgreso[[#This Row],[Crédito Fiscal]]="Si",Configuración!$B$26,0)</f>
        <v>0</v>
      </c>
      <c r="J344" s="32">
        <f>TablaEgreso[[#This Row],[Egreso Total]]*TablaEgreso[[#This Row],[% de Crédito Fiscal]]</f>
        <v>0</v>
      </c>
      <c r="K344" s="146">
        <v>2400</v>
      </c>
    </row>
    <row r="345" spans="2:11" ht="20.100000000000001" customHeight="1" x14ac:dyDescent="0.25">
      <c r="B345" s="140">
        <v>45644</v>
      </c>
      <c r="C345" s="127" t="str">
        <f>IF(Egresos!$B345="","",TEXT(Egresos!$B345,"MMMM" ))</f>
        <v>diciembre</v>
      </c>
      <c r="D345" s="16" t="s">
        <v>101</v>
      </c>
      <c r="E345" s="17" t="s">
        <v>375</v>
      </c>
      <c r="F345" s="16" t="s">
        <v>120</v>
      </c>
      <c r="G345" s="35">
        <f>TablaEgreso[[#This Row],[Egreso Total]]-TablaEgreso[[#This Row],[Total Crédito Fiscal]]</f>
        <v>50025</v>
      </c>
      <c r="H345" s="16"/>
      <c r="I345" s="31">
        <f>IF(TablaEgreso[[#This Row],[Crédito Fiscal]]="Si",Configuración!$B$26,0)</f>
        <v>0</v>
      </c>
      <c r="J345" s="32">
        <f>TablaEgreso[[#This Row],[Egreso Total]]*TablaEgreso[[#This Row],[% de Crédito Fiscal]]</f>
        <v>0</v>
      </c>
      <c r="K345" s="146">
        <v>50025</v>
      </c>
    </row>
    <row r="346" spans="2:11" ht="20.100000000000001" customHeight="1" x14ac:dyDescent="0.25">
      <c r="B346" s="140">
        <v>45644</v>
      </c>
      <c r="C346" s="127" t="str">
        <f>IF(Egresos!$B346="","",TEXT(Egresos!$B346,"MMMM" ))</f>
        <v>diciembre</v>
      </c>
      <c r="D346" s="16" t="s">
        <v>114</v>
      </c>
      <c r="E346" s="17" t="s">
        <v>437</v>
      </c>
      <c r="F346" s="16" t="s">
        <v>120</v>
      </c>
      <c r="G346" s="35">
        <f>TablaEgreso[[#This Row],[Egreso Total]]-TablaEgreso[[#This Row],[Total Crédito Fiscal]]</f>
        <v>0</v>
      </c>
      <c r="H346" s="16"/>
      <c r="I346" s="31">
        <f>IF(TablaEgreso[[#This Row],[Crédito Fiscal]]="Si",Configuración!$B$26,0)</f>
        <v>0</v>
      </c>
      <c r="J346" s="32">
        <f>TablaEgreso[[#This Row],[Egreso Total]]*TablaEgreso[[#This Row],[% de Crédito Fiscal]]</f>
        <v>0</v>
      </c>
      <c r="K346" s="146">
        <v>0</v>
      </c>
    </row>
    <row r="347" spans="2:11" ht="20.100000000000001" customHeight="1" x14ac:dyDescent="0.25">
      <c r="B347" s="140">
        <v>45644</v>
      </c>
      <c r="C347" s="127" t="str">
        <f>IF(Egresos!$B347="","",TEXT(Egresos!$B347,"MMMM" ))</f>
        <v>diciembre</v>
      </c>
      <c r="D347" s="16" t="s">
        <v>113</v>
      </c>
      <c r="E347" s="17" t="s">
        <v>172</v>
      </c>
      <c r="F347" s="16" t="s">
        <v>120</v>
      </c>
      <c r="G347" s="35">
        <f>TablaEgreso[[#This Row],[Egreso Total]]-TablaEgreso[[#This Row],[Total Crédito Fiscal]]</f>
        <v>1500</v>
      </c>
      <c r="H347" s="16"/>
      <c r="I347" s="31">
        <f>IF(TablaEgreso[[#This Row],[Crédito Fiscal]]="Si",Configuración!$B$26,0)</f>
        <v>0</v>
      </c>
      <c r="J347" s="32">
        <f>TablaEgreso[[#This Row],[Egreso Total]]*TablaEgreso[[#This Row],[% de Crédito Fiscal]]</f>
        <v>0</v>
      </c>
      <c r="K347" s="146">
        <v>1500</v>
      </c>
    </row>
    <row r="348" spans="2:11" ht="20.100000000000001" customHeight="1" x14ac:dyDescent="0.25">
      <c r="B348" s="140">
        <v>45644</v>
      </c>
      <c r="C348" s="127" t="str">
        <f>IF(Egresos!$B348="","",TEXT(Egresos!$B348,"MMMM" ))</f>
        <v>diciembre</v>
      </c>
      <c r="D348" s="16" t="s">
        <v>103</v>
      </c>
      <c r="E348" s="17" t="s">
        <v>438</v>
      </c>
      <c r="F348" s="16" t="s">
        <v>120</v>
      </c>
      <c r="G348" s="35">
        <f>TablaEgreso[[#This Row],[Egreso Total]]-TablaEgreso[[#This Row],[Total Crédito Fiscal]]</f>
        <v>19865</v>
      </c>
      <c r="H348" s="16"/>
      <c r="I348" s="31">
        <f>IF(TablaEgreso[[#This Row],[Crédito Fiscal]]="Si",Configuración!$B$26,0)</f>
        <v>0</v>
      </c>
      <c r="J348" s="32">
        <f>TablaEgreso[[#This Row],[Egreso Total]]*TablaEgreso[[#This Row],[% de Crédito Fiscal]]</f>
        <v>0</v>
      </c>
      <c r="K348" s="146">
        <v>19865</v>
      </c>
    </row>
    <row r="349" spans="2:11" ht="20.100000000000001" customHeight="1" x14ac:dyDescent="0.25">
      <c r="B349" s="140">
        <v>45645</v>
      </c>
      <c r="C349" s="127" t="str">
        <f>IF(Egresos!$B349="","",TEXT(Egresos!$B349,"MMMM" ))</f>
        <v>diciembre</v>
      </c>
      <c r="D349" s="16" t="s">
        <v>113</v>
      </c>
      <c r="E349" s="17" t="s">
        <v>439</v>
      </c>
      <c r="F349" s="16" t="s">
        <v>13</v>
      </c>
      <c r="G349" s="35">
        <f>TablaEgreso[[#This Row],[Egreso Total]]-TablaEgreso[[#This Row],[Total Crédito Fiscal]]</f>
        <v>173808.88</v>
      </c>
      <c r="H349" s="16"/>
      <c r="I349" s="31">
        <f>IF(TablaEgreso[[#This Row],[Crédito Fiscal]]="Si",Configuración!$B$26,0)</f>
        <v>0</v>
      </c>
      <c r="J349" s="32">
        <f>TablaEgreso[[#This Row],[Egreso Total]]*TablaEgreso[[#This Row],[% de Crédito Fiscal]]</f>
        <v>0</v>
      </c>
      <c r="K349" s="146">
        <v>173808.88</v>
      </c>
    </row>
    <row r="350" spans="2:11" ht="20.100000000000001" customHeight="1" x14ac:dyDescent="0.25">
      <c r="B350" s="140">
        <v>45645</v>
      </c>
      <c r="C350" s="127" t="str">
        <f>IF(Egresos!$B350="","",TEXT(Egresos!$B350,"MMMM" ))</f>
        <v>diciembre</v>
      </c>
      <c r="D350" s="16" t="s">
        <v>113</v>
      </c>
      <c r="E350" s="17" t="s">
        <v>440</v>
      </c>
      <c r="F350" s="16" t="s">
        <v>13</v>
      </c>
      <c r="G350" s="35">
        <f>TablaEgreso[[#This Row],[Egreso Total]]-TablaEgreso[[#This Row],[Total Crédito Fiscal]]</f>
        <v>77112.84</v>
      </c>
      <c r="H350" s="16"/>
      <c r="I350" s="31">
        <f>IF(TablaEgreso[[#This Row],[Crédito Fiscal]]="Si",Configuración!$B$26,0)</f>
        <v>0</v>
      </c>
      <c r="J350" s="32">
        <f>TablaEgreso[[#This Row],[Egreso Total]]*TablaEgreso[[#This Row],[% de Crédito Fiscal]]</f>
        <v>0</v>
      </c>
      <c r="K350" s="146">
        <v>77112.84</v>
      </c>
    </row>
    <row r="351" spans="2:11" ht="20.100000000000001" customHeight="1" x14ac:dyDescent="0.25">
      <c r="B351" s="140">
        <v>45645</v>
      </c>
      <c r="C351" s="127" t="str">
        <f>IF(Egresos!$B351="","",TEXT(Egresos!$B351,"MMMM" ))</f>
        <v>diciembre</v>
      </c>
      <c r="D351" s="16" t="s">
        <v>113</v>
      </c>
      <c r="E351" s="17" t="s">
        <v>441</v>
      </c>
      <c r="F351" s="16" t="s">
        <v>13</v>
      </c>
      <c r="G351" s="35">
        <f>TablaEgreso[[#This Row],[Egreso Total]]-TablaEgreso[[#This Row],[Total Crédito Fiscal]]</f>
        <v>115283.7</v>
      </c>
      <c r="H351" s="16"/>
      <c r="I351" s="31">
        <f>IF(TablaEgreso[[#This Row],[Crédito Fiscal]]="Si",Configuración!$B$26,0)</f>
        <v>0</v>
      </c>
      <c r="J351" s="32">
        <f>TablaEgreso[[#This Row],[Egreso Total]]*TablaEgreso[[#This Row],[% de Crédito Fiscal]]</f>
        <v>0</v>
      </c>
      <c r="K351" s="146">
        <v>115283.7</v>
      </c>
    </row>
    <row r="352" spans="2:11" ht="20.100000000000001" customHeight="1" x14ac:dyDescent="0.25">
      <c r="B352" s="140">
        <v>45643</v>
      </c>
      <c r="C352" s="127" t="str">
        <f>IF(Egresos!$B352="","",TEXT(Egresos!$B352,"MMMM" ))</f>
        <v>diciembre</v>
      </c>
      <c r="D352" s="16" t="s">
        <v>108</v>
      </c>
      <c r="E352" s="17" t="s">
        <v>153</v>
      </c>
      <c r="F352" s="16" t="s">
        <v>12</v>
      </c>
      <c r="G352" s="35">
        <f>TablaEgreso[[#This Row],[Egreso Total]]-TablaEgreso[[#This Row],[Total Crédito Fiscal]]</f>
        <v>46500</v>
      </c>
      <c r="H352" s="16"/>
      <c r="I352" s="31">
        <f>IF(TablaEgreso[[#This Row],[Crédito Fiscal]]="Si",Configuración!$B$26,0)</f>
        <v>0</v>
      </c>
      <c r="J352" s="32">
        <f>TablaEgreso[[#This Row],[Egreso Total]]*TablaEgreso[[#This Row],[% de Crédito Fiscal]]</f>
        <v>0</v>
      </c>
      <c r="K352" s="146">
        <v>46500</v>
      </c>
    </row>
    <row r="353" spans="2:11" ht="20.100000000000001" customHeight="1" x14ac:dyDescent="0.25">
      <c r="B353" s="140">
        <v>45644</v>
      </c>
      <c r="C353" s="127" t="str">
        <f>IF(Egresos!$B353="","",TEXT(Egresos!$B353,"MMMM" ))</f>
        <v>diciembre</v>
      </c>
      <c r="D353" s="16" t="s">
        <v>143</v>
      </c>
      <c r="E353" s="17" t="s">
        <v>442</v>
      </c>
      <c r="F353" s="16" t="s">
        <v>13</v>
      </c>
      <c r="G353" s="35">
        <f>TablaEgreso[[#This Row],[Egreso Total]]-TablaEgreso[[#This Row],[Total Crédito Fiscal]]</f>
        <v>87849.51</v>
      </c>
      <c r="H353" s="16"/>
      <c r="I353" s="31">
        <f>IF(TablaEgreso[[#This Row],[Crédito Fiscal]]="Si",Configuración!$B$26,0)</f>
        <v>0</v>
      </c>
      <c r="J353" s="32">
        <f>TablaEgreso[[#This Row],[Egreso Total]]*TablaEgreso[[#This Row],[% de Crédito Fiscal]]</f>
        <v>0</v>
      </c>
      <c r="K353" s="146">
        <v>87849.51</v>
      </c>
    </row>
    <row r="354" spans="2:11" ht="20.100000000000001" customHeight="1" x14ac:dyDescent="0.25">
      <c r="B354" s="140">
        <v>45644</v>
      </c>
      <c r="C354" s="127" t="str">
        <f>IF(Egresos!$B354="","",TEXT(Egresos!$B354,"MMMM" ))</f>
        <v>diciembre</v>
      </c>
      <c r="D354" s="16" t="s">
        <v>103</v>
      </c>
      <c r="E354" s="17" t="s">
        <v>313</v>
      </c>
      <c r="F354" s="16" t="s">
        <v>13</v>
      </c>
      <c r="G354" s="35">
        <f>TablaEgreso[[#This Row],[Egreso Total]]-TablaEgreso[[#This Row],[Total Crédito Fiscal]]</f>
        <v>38403.120000000003</v>
      </c>
      <c r="H354" s="16"/>
      <c r="I354" s="31">
        <f>IF(TablaEgreso[[#This Row],[Crédito Fiscal]]="Si",Configuración!$B$26,0)</f>
        <v>0</v>
      </c>
      <c r="J354" s="32">
        <f>TablaEgreso[[#This Row],[Egreso Total]]*TablaEgreso[[#This Row],[% de Crédito Fiscal]]</f>
        <v>0</v>
      </c>
      <c r="K354" s="146">
        <v>38403.120000000003</v>
      </c>
    </row>
    <row r="355" spans="2:11" ht="20.100000000000001" customHeight="1" x14ac:dyDescent="0.25">
      <c r="B355" s="140">
        <v>45644</v>
      </c>
      <c r="C355" s="127" t="str">
        <f>IF(Egresos!$B355="","",TEXT(Egresos!$B355,"MMMM" ))</f>
        <v>diciembre</v>
      </c>
      <c r="D355" s="16" t="s">
        <v>103</v>
      </c>
      <c r="E355" s="17" t="s">
        <v>207</v>
      </c>
      <c r="F355" s="16" t="s">
        <v>13</v>
      </c>
      <c r="G355" s="35">
        <f>TablaEgreso[[#This Row],[Egreso Total]]-TablaEgreso[[#This Row],[Total Crédito Fiscal]]</f>
        <v>98707.520000000004</v>
      </c>
      <c r="H355" s="16"/>
      <c r="I355" s="31">
        <f>IF(TablaEgreso[[#This Row],[Crédito Fiscal]]="Si",Configuración!$B$26,0)</f>
        <v>0</v>
      </c>
      <c r="J355" s="32">
        <f>TablaEgreso[[#This Row],[Egreso Total]]*TablaEgreso[[#This Row],[% de Crédito Fiscal]]</f>
        <v>0</v>
      </c>
      <c r="K355" s="146">
        <v>98707.520000000004</v>
      </c>
    </row>
    <row r="356" spans="2:11" ht="20.100000000000001" customHeight="1" x14ac:dyDescent="0.25">
      <c r="B356" s="140">
        <v>45644</v>
      </c>
      <c r="C356" s="127" t="str">
        <f>IF(Egresos!$B356="","",TEXT(Egresos!$B356,"MMMM" ))</f>
        <v>diciembre</v>
      </c>
      <c r="D356" s="16" t="s">
        <v>113</v>
      </c>
      <c r="E356" s="17" t="s">
        <v>443</v>
      </c>
      <c r="F356" s="16" t="s">
        <v>13</v>
      </c>
      <c r="G356" s="35">
        <f>TablaEgreso[[#This Row],[Egreso Total]]-TablaEgreso[[#This Row],[Total Crédito Fiscal]]</f>
        <v>37768.9</v>
      </c>
      <c r="H356" s="16"/>
      <c r="I356" s="31">
        <f>IF(TablaEgreso[[#This Row],[Crédito Fiscal]]="Si",Configuración!$B$26,0)</f>
        <v>0</v>
      </c>
      <c r="J356" s="32">
        <f>TablaEgreso[[#This Row],[Egreso Total]]*TablaEgreso[[#This Row],[% de Crédito Fiscal]]</f>
        <v>0</v>
      </c>
      <c r="K356" s="146">
        <v>37768.9</v>
      </c>
    </row>
    <row r="357" spans="2:11" ht="20.100000000000001" customHeight="1" x14ac:dyDescent="0.25">
      <c r="B357" s="140">
        <v>45644</v>
      </c>
      <c r="C357" s="127" t="str">
        <f>IF(Egresos!$B357="","",TEXT(Egresos!$B357,"MMMM" ))</f>
        <v>diciembre</v>
      </c>
      <c r="D357" s="16" t="s">
        <v>146</v>
      </c>
      <c r="E357" s="17" t="s">
        <v>336</v>
      </c>
      <c r="F357" s="16" t="s">
        <v>13</v>
      </c>
      <c r="G357" s="35">
        <f>TablaEgreso[[#This Row],[Egreso Total]]-TablaEgreso[[#This Row],[Total Crédito Fiscal]]</f>
        <v>1448963.28</v>
      </c>
      <c r="H357" s="16"/>
      <c r="I357" s="31">
        <f>IF(TablaEgreso[[#This Row],[Crédito Fiscal]]="Si",Configuración!$B$26,0)</f>
        <v>0</v>
      </c>
      <c r="J357" s="32">
        <f>TablaEgreso[[#This Row],[Egreso Total]]*TablaEgreso[[#This Row],[% de Crédito Fiscal]]</f>
        <v>0</v>
      </c>
      <c r="K357" s="146">
        <v>1448963.28</v>
      </c>
    </row>
    <row r="358" spans="2:11" ht="20.100000000000001" customHeight="1" x14ac:dyDescent="0.25">
      <c r="B358" s="140">
        <v>45643</v>
      </c>
      <c r="C358" s="127" t="str">
        <f>IF(Egresos!$B358="","",TEXT(Egresos!$B358,"MMMM" ))</f>
        <v>diciembre</v>
      </c>
      <c r="D358" s="16" t="s">
        <v>113</v>
      </c>
      <c r="E358" s="17" t="s">
        <v>444</v>
      </c>
      <c r="F358" s="16" t="s">
        <v>12</v>
      </c>
      <c r="G358" s="35">
        <f>TablaEgreso[[#This Row],[Egreso Total]]-TablaEgreso[[#This Row],[Total Crédito Fiscal]]</f>
        <v>8906.23</v>
      </c>
      <c r="H358" s="16"/>
      <c r="I358" s="31">
        <f>IF(TablaEgreso[[#This Row],[Crédito Fiscal]]="Si",Configuración!$B$26,0)</f>
        <v>0</v>
      </c>
      <c r="J358" s="32">
        <f>TablaEgreso[[#This Row],[Egreso Total]]*TablaEgreso[[#This Row],[% de Crédito Fiscal]]</f>
        <v>0</v>
      </c>
      <c r="K358" s="146">
        <v>8906.23</v>
      </c>
    </row>
    <row r="359" spans="2:11" ht="20.100000000000001" customHeight="1" x14ac:dyDescent="0.25">
      <c r="B359" s="140">
        <v>45642</v>
      </c>
      <c r="C359" s="127" t="str">
        <f>IF(Egresos!$B359="","",TEXT(Egresos!$B359,"MMMM" ))</f>
        <v>diciembre</v>
      </c>
      <c r="D359" s="16" t="s">
        <v>113</v>
      </c>
      <c r="E359" s="17" t="s">
        <v>445</v>
      </c>
      <c r="F359" s="16" t="s">
        <v>121</v>
      </c>
      <c r="G359" s="35">
        <f>TablaEgreso[[#This Row],[Egreso Total]]-TablaEgreso[[#This Row],[Total Crédito Fiscal]]</f>
        <v>0</v>
      </c>
      <c r="H359" s="16"/>
      <c r="I359" s="31">
        <f>IF(TablaEgreso[[#This Row],[Crédito Fiscal]]="Si",Configuración!$B$26,0)</f>
        <v>0</v>
      </c>
      <c r="J359" s="32">
        <f>TablaEgreso[[#This Row],[Egreso Total]]*TablaEgreso[[#This Row],[% de Crédito Fiscal]]</f>
        <v>0</v>
      </c>
      <c r="K359" s="146">
        <v>0</v>
      </c>
    </row>
    <row r="360" spans="2:11" ht="20.100000000000001" customHeight="1" x14ac:dyDescent="0.25">
      <c r="B360" s="140">
        <v>45642</v>
      </c>
      <c r="C360" s="127" t="str">
        <f>IF(Egresos!$B360="","",TEXT(Egresos!$B360,"MMMM" ))</f>
        <v>diciembre</v>
      </c>
      <c r="D360" s="16" t="s">
        <v>140</v>
      </c>
      <c r="E360" s="17" t="s">
        <v>446</v>
      </c>
      <c r="F360" s="16" t="s">
        <v>13</v>
      </c>
      <c r="G360" s="35">
        <f>TablaEgreso[[#This Row],[Egreso Total]]-TablaEgreso[[#This Row],[Total Crédito Fiscal]]</f>
        <v>24000</v>
      </c>
      <c r="H360" s="16"/>
      <c r="I360" s="31">
        <f>IF(TablaEgreso[[#This Row],[Crédito Fiscal]]="Si",Configuración!$B$26,0)</f>
        <v>0</v>
      </c>
      <c r="J360" s="32">
        <f>TablaEgreso[[#This Row],[Egreso Total]]*TablaEgreso[[#This Row],[% de Crédito Fiscal]]</f>
        <v>0</v>
      </c>
      <c r="K360" s="146">
        <v>24000</v>
      </c>
    </row>
    <row r="361" spans="2:11" ht="20.100000000000001" customHeight="1" x14ac:dyDescent="0.25">
      <c r="B361" s="140">
        <v>45639</v>
      </c>
      <c r="C361" s="127" t="str">
        <f>IF(Egresos!$B361="","",TEXT(Egresos!$B361,"MMMM" ))</f>
        <v>diciembre</v>
      </c>
      <c r="D361" s="16" t="s">
        <v>146</v>
      </c>
      <c r="E361" s="17" t="s">
        <v>447</v>
      </c>
      <c r="F361" s="16" t="s">
        <v>13</v>
      </c>
      <c r="G361" s="35">
        <f>TablaEgreso[[#This Row],[Egreso Total]]-TablaEgreso[[#This Row],[Total Crédito Fiscal]]</f>
        <v>67400</v>
      </c>
      <c r="H361" s="16"/>
      <c r="I361" s="31">
        <f>IF(TablaEgreso[[#This Row],[Crédito Fiscal]]="Si",Configuración!$B$26,0)</f>
        <v>0</v>
      </c>
      <c r="J361" s="32">
        <f>TablaEgreso[[#This Row],[Egreso Total]]*TablaEgreso[[#This Row],[% de Crédito Fiscal]]</f>
        <v>0</v>
      </c>
      <c r="K361" s="146">
        <v>67400</v>
      </c>
    </row>
    <row r="362" spans="2:11" ht="20.100000000000001" customHeight="1" x14ac:dyDescent="0.25">
      <c r="B362" s="140">
        <v>45639</v>
      </c>
      <c r="C362" s="127" t="str">
        <f>IF(Egresos!$B362="","",TEXT(Egresos!$B362,"MMMM" ))</f>
        <v>diciembre</v>
      </c>
      <c r="D362" s="16" t="s">
        <v>113</v>
      </c>
      <c r="E362" s="17" t="s">
        <v>448</v>
      </c>
      <c r="F362" s="16" t="s">
        <v>121</v>
      </c>
      <c r="G362" s="35">
        <f>TablaEgreso[[#This Row],[Egreso Total]]-TablaEgreso[[#This Row],[Total Crédito Fiscal]]</f>
        <v>0</v>
      </c>
      <c r="H362" s="16"/>
      <c r="I362" s="31">
        <f>IF(TablaEgreso[[#This Row],[Crédito Fiscal]]="Si",Configuración!$B$26,0)</f>
        <v>0</v>
      </c>
      <c r="J362" s="32">
        <f>TablaEgreso[[#This Row],[Egreso Total]]*TablaEgreso[[#This Row],[% de Crédito Fiscal]]</f>
        <v>0</v>
      </c>
      <c r="K362" s="146">
        <v>0</v>
      </c>
    </row>
    <row r="363" spans="2:11" ht="20.100000000000001" customHeight="1" x14ac:dyDescent="0.25">
      <c r="B363" s="140">
        <v>45639</v>
      </c>
      <c r="C363" s="127" t="str">
        <f>IF(Egresos!$B363="","",TEXT(Egresos!$B363,"MMMM" ))</f>
        <v>diciembre</v>
      </c>
      <c r="D363" s="16" t="s">
        <v>113</v>
      </c>
      <c r="E363" s="17" t="s">
        <v>449</v>
      </c>
      <c r="F363" s="16" t="s">
        <v>121</v>
      </c>
      <c r="G363" s="35">
        <f>TablaEgreso[[#This Row],[Egreso Total]]-TablaEgreso[[#This Row],[Total Crédito Fiscal]]</f>
        <v>0</v>
      </c>
      <c r="H363" s="16"/>
      <c r="I363" s="31">
        <f>IF(TablaEgreso[[#This Row],[Crédito Fiscal]]="Si",Configuración!$B$26,0)</f>
        <v>0</v>
      </c>
      <c r="J363" s="32">
        <f>TablaEgreso[[#This Row],[Egreso Total]]*TablaEgreso[[#This Row],[% de Crédito Fiscal]]</f>
        <v>0</v>
      </c>
      <c r="K363" s="146">
        <v>0</v>
      </c>
    </row>
    <row r="364" spans="2:11" ht="20.100000000000001" customHeight="1" x14ac:dyDescent="0.25">
      <c r="B364" s="140">
        <v>45639</v>
      </c>
      <c r="C364" s="127" t="str">
        <f>IF(Egresos!$B364="","",TEXT(Egresos!$B364,"MMMM" ))</f>
        <v>diciembre</v>
      </c>
      <c r="D364" s="16" t="s">
        <v>113</v>
      </c>
      <c r="E364" s="17" t="s">
        <v>450</v>
      </c>
      <c r="F364" s="16" t="s">
        <v>121</v>
      </c>
      <c r="G364" s="35">
        <f>TablaEgreso[[#This Row],[Egreso Total]]-TablaEgreso[[#This Row],[Total Crédito Fiscal]]</f>
        <v>0</v>
      </c>
      <c r="H364" s="16"/>
      <c r="I364" s="31">
        <f>IF(TablaEgreso[[#This Row],[Crédito Fiscal]]="Si",Configuración!$B$26,0)</f>
        <v>0</v>
      </c>
      <c r="J364" s="32">
        <f>TablaEgreso[[#This Row],[Egreso Total]]*TablaEgreso[[#This Row],[% de Crédito Fiscal]]</f>
        <v>0</v>
      </c>
      <c r="K364" s="146">
        <v>0</v>
      </c>
    </row>
    <row r="365" spans="2:11" ht="20.100000000000001" customHeight="1" x14ac:dyDescent="0.25">
      <c r="B365" s="140">
        <v>45639</v>
      </c>
      <c r="C365" s="127" t="str">
        <f>IF(Egresos!$B365="","",TEXT(Egresos!$B365,"MMMM" ))</f>
        <v>diciembre</v>
      </c>
      <c r="D365" s="16" t="s">
        <v>113</v>
      </c>
      <c r="E365" s="17" t="s">
        <v>451</v>
      </c>
      <c r="F365" s="16" t="s">
        <v>121</v>
      </c>
      <c r="G365" s="35">
        <f>TablaEgreso[[#This Row],[Egreso Total]]-TablaEgreso[[#This Row],[Total Crédito Fiscal]]</f>
        <v>0</v>
      </c>
      <c r="H365" s="16"/>
      <c r="I365" s="31">
        <f>IF(TablaEgreso[[#This Row],[Crédito Fiscal]]="Si",Configuración!$B$26,0)</f>
        <v>0</v>
      </c>
      <c r="J365" s="32">
        <f>TablaEgreso[[#This Row],[Egreso Total]]*TablaEgreso[[#This Row],[% de Crédito Fiscal]]</f>
        <v>0</v>
      </c>
      <c r="K365" s="146">
        <v>0</v>
      </c>
    </row>
    <row r="366" spans="2:11" ht="20.100000000000001" customHeight="1" x14ac:dyDescent="0.25">
      <c r="B366" s="140">
        <v>45639</v>
      </c>
      <c r="C366" s="127" t="str">
        <f>IF(Egresos!$B366="","",TEXT(Egresos!$B366,"MMMM" ))</f>
        <v>diciembre</v>
      </c>
      <c r="D366" s="16" t="s">
        <v>113</v>
      </c>
      <c r="E366" s="17" t="s">
        <v>452</v>
      </c>
      <c r="F366" s="16" t="s">
        <v>121</v>
      </c>
      <c r="G366" s="35">
        <f>TablaEgreso[[#This Row],[Egreso Total]]-TablaEgreso[[#This Row],[Total Crédito Fiscal]]</f>
        <v>0</v>
      </c>
      <c r="H366" s="16"/>
      <c r="I366" s="31">
        <f>IF(TablaEgreso[[#This Row],[Crédito Fiscal]]="Si",Configuración!$B$26,0)</f>
        <v>0</v>
      </c>
      <c r="J366" s="32">
        <f>TablaEgreso[[#This Row],[Egreso Total]]*TablaEgreso[[#This Row],[% de Crédito Fiscal]]</f>
        <v>0</v>
      </c>
      <c r="K366" s="146">
        <v>0</v>
      </c>
    </row>
    <row r="367" spans="2:11" ht="20.100000000000001" customHeight="1" x14ac:dyDescent="0.25">
      <c r="B367" s="140">
        <v>45645</v>
      </c>
      <c r="C367" s="127" t="str">
        <f>IF(Egresos!$B367="","",TEXT(Egresos!$B367,"MMMM" ))</f>
        <v>diciembre</v>
      </c>
      <c r="D367" s="16" t="s">
        <v>110</v>
      </c>
      <c r="E367" s="17" t="s">
        <v>453</v>
      </c>
      <c r="F367" s="16" t="s">
        <v>12</v>
      </c>
      <c r="G367" s="35">
        <f>TablaEgreso[[#This Row],[Egreso Total]]-TablaEgreso[[#This Row],[Total Crédito Fiscal]]</f>
        <v>79740.45</v>
      </c>
      <c r="H367" s="16"/>
      <c r="I367" s="31">
        <f>IF(TablaEgreso[[#This Row],[Crédito Fiscal]]="Si",Configuración!$B$26,0)</f>
        <v>0</v>
      </c>
      <c r="J367" s="32">
        <f>TablaEgreso[[#This Row],[Egreso Total]]*TablaEgreso[[#This Row],[% de Crédito Fiscal]]</f>
        <v>0</v>
      </c>
      <c r="K367" s="146">
        <v>79740.45</v>
      </c>
    </row>
    <row r="368" spans="2:11" ht="20.100000000000001" customHeight="1" x14ac:dyDescent="0.25">
      <c r="B368" s="140">
        <v>45645</v>
      </c>
      <c r="C368" s="127" t="str">
        <f>IF(Egresos!$B368="","",TEXT(Egresos!$B368,"MMMM" ))</f>
        <v>diciembre</v>
      </c>
      <c r="D368" s="16" t="s">
        <v>110</v>
      </c>
      <c r="E368" s="17" t="s">
        <v>454</v>
      </c>
      <c r="F368" s="16" t="s">
        <v>12</v>
      </c>
      <c r="G368" s="35">
        <f>TablaEgreso[[#This Row],[Egreso Total]]-TablaEgreso[[#This Row],[Total Crédito Fiscal]]</f>
        <v>135829.07</v>
      </c>
      <c r="H368" s="16"/>
      <c r="I368" s="31">
        <f>IF(TablaEgreso[[#This Row],[Crédito Fiscal]]="Si",Configuración!$B$26,0)</f>
        <v>0</v>
      </c>
      <c r="J368" s="32">
        <f>TablaEgreso[[#This Row],[Egreso Total]]*TablaEgreso[[#This Row],[% de Crédito Fiscal]]</f>
        <v>0</v>
      </c>
      <c r="K368" s="146">
        <v>135829.07</v>
      </c>
    </row>
    <row r="369" spans="2:11" ht="20.100000000000001" customHeight="1" x14ac:dyDescent="0.25">
      <c r="B369" s="140">
        <v>45645</v>
      </c>
      <c r="C369" s="127" t="str">
        <f>IF(Egresos!$B369="","",TEXT(Egresos!$B369,"MMMM" ))</f>
        <v>diciembre</v>
      </c>
      <c r="D369" s="16" t="s">
        <v>110</v>
      </c>
      <c r="E369" s="17" t="s">
        <v>455</v>
      </c>
      <c r="F369" s="16" t="s">
        <v>12</v>
      </c>
      <c r="G369" s="35">
        <f>TablaEgreso[[#This Row],[Egreso Total]]-TablaEgreso[[#This Row],[Total Crédito Fiscal]]</f>
        <v>342024.76</v>
      </c>
      <c r="H369" s="16"/>
      <c r="I369" s="31">
        <f>IF(TablaEgreso[[#This Row],[Crédito Fiscal]]="Si",Configuración!$B$26,0)</f>
        <v>0</v>
      </c>
      <c r="J369" s="32">
        <f>TablaEgreso[[#This Row],[Egreso Total]]*TablaEgreso[[#This Row],[% de Crédito Fiscal]]</f>
        <v>0</v>
      </c>
      <c r="K369" s="146">
        <v>342024.76</v>
      </c>
    </row>
    <row r="370" spans="2:11" ht="20.100000000000001" customHeight="1" x14ac:dyDescent="0.25">
      <c r="B370" s="140">
        <v>45645</v>
      </c>
      <c r="C370" s="127" t="str">
        <f>IF(Egresos!$B370="","",TEXT(Egresos!$B370,"MMMM" ))</f>
        <v>diciembre</v>
      </c>
      <c r="D370" s="16" t="s">
        <v>110</v>
      </c>
      <c r="E370" s="17" t="s">
        <v>456</v>
      </c>
      <c r="F370" s="16" t="s">
        <v>12</v>
      </c>
      <c r="G370" s="35">
        <f>TablaEgreso[[#This Row],[Egreso Total]]-TablaEgreso[[#This Row],[Total Crédito Fiscal]]</f>
        <v>69005.72</v>
      </c>
      <c r="H370" s="16"/>
      <c r="I370" s="31">
        <f>IF(TablaEgreso[[#This Row],[Crédito Fiscal]]="Si",Configuración!$B$26,0)</f>
        <v>0</v>
      </c>
      <c r="J370" s="32">
        <f>TablaEgreso[[#This Row],[Egreso Total]]*TablaEgreso[[#This Row],[% de Crédito Fiscal]]</f>
        <v>0</v>
      </c>
      <c r="K370" s="146">
        <v>69005.72</v>
      </c>
    </row>
    <row r="371" spans="2:11" ht="20.100000000000001" customHeight="1" x14ac:dyDescent="0.25">
      <c r="B371" s="140">
        <v>45645</v>
      </c>
      <c r="C371" s="127" t="str">
        <f>IF(Egresos!$B371="","",TEXT(Egresos!$B371,"MMMM" ))</f>
        <v>diciembre</v>
      </c>
      <c r="D371" s="16" t="s">
        <v>146</v>
      </c>
      <c r="E371" s="17" t="s">
        <v>457</v>
      </c>
      <c r="F371" s="16" t="s">
        <v>13</v>
      </c>
      <c r="G371" s="35">
        <f>TablaEgreso[[#This Row],[Egreso Total]]-TablaEgreso[[#This Row],[Total Crédito Fiscal]]</f>
        <v>2055694.69</v>
      </c>
      <c r="H371" s="16"/>
      <c r="I371" s="31">
        <f>IF(TablaEgreso[[#This Row],[Crédito Fiscal]]="Si",Configuración!$B$26,0)</f>
        <v>0</v>
      </c>
      <c r="J371" s="32">
        <f>TablaEgreso[[#This Row],[Egreso Total]]*TablaEgreso[[#This Row],[% de Crédito Fiscal]]</f>
        <v>0</v>
      </c>
      <c r="K371" s="146">
        <v>2055694.69</v>
      </c>
    </row>
    <row r="372" spans="2:11" ht="20.100000000000001" customHeight="1" x14ac:dyDescent="0.25">
      <c r="B372" s="140">
        <v>45644</v>
      </c>
      <c r="C372" s="127" t="str">
        <f>IF(Egresos!$B372="","",TEXT(Egresos!$B372,"MMMM" ))</f>
        <v>diciembre</v>
      </c>
      <c r="D372" s="16" t="s">
        <v>113</v>
      </c>
      <c r="E372" s="17" t="s">
        <v>458</v>
      </c>
      <c r="F372" s="16" t="s">
        <v>121</v>
      </c>
      <c r="G372" s="35">
        <f>TablaEgreso[[#This Row],[Egreso Total]]-TablaEgreso[[#This Row],[Total Crédito Fiscal]]</f>
        <v>0</v>
      </c>
      <c r="H372" s="16"/>
      <c r="I372" s="31">
        <f>IF(TablaEgreso[[#This Row],[Crédito Fiscal]]="Si",Configuración!$B$26,0)</f>
        <v>0</v>
      </c>
      <c r="J372" s="32">
        <f>TablaEgreso[[#This Row],[Egreso Total]]*TablaEgreso[[#This Row],[% de Crédito Fiscal]]</f>
        <v>0</v>
      </c>
      <c r="K372" s="146">
        <v>0</v>
      </c>
    </row>
    <row r="373" spans="2:11" ht="20.100000000000001" customHeight="1" x14ac:dyDescent="0.25">
      <c r="B373" s="140">
        <v>45644</v>
      </c>
      <c r="C373" s="127" t="str">
        <f>IF(Egresos!$B373="","",TEXT(Egresos!$B373,"MMMM" ))</f>
        <v>diciembre</v>
      </c>
      <c r="D373" s="16" t="s">
        <v>113</v>
      </c>
      <c r="E373" s="17" t="s">
        <v>459</v>
      </c>
      <c r="F373" s="16" t="s">
        <v>13</v>
      </c>
      <c r="G373" s="35">
        <f>TablaEgreso[[#This Row],[Egreso Total]]-TablaEgreso[[#This Row],[Total Crédito Fiscal]]</f>
        <v>8268.57</v>
      </c>
      <c r="H373" s="16"/>
      <c r="I373" s="31">
        <f>IF(TablaEgreso[[#This Row],[Crédito Fiscal]]="Si",Configuración!$B$26,0)</f>
        <v>0</v>
      </c>
      <c r="J373" s="32">
        <f>TablaEgreso[[#This Row],[Egreso Total]]*TablaEgreso[[#This Row],[% de Crédito Fiscal]]</f>
        <v>0</v>
      </c>
      <c r="K373" s="146">
        <v>8268.57</v>
      </c>
    </row>
    <row r="374" spans="2:11" ht="20.100000000000001" customHeight="1" x14ac:dyDescent="0.25">
      <c r="B374" s="140">
        <v>45645</v>
      </c>
      <c r="C374" s="127" t="str">
        <f>IF(Egresos!$B374="","",TEXT(Egresos!$B374,"MMMM" ))</f>
        <v>diciembre</v>
      </c>
      <c r="D374" s="16" t="s">
        <v>113</v>
      </c>
      <c r="E374" s="17" t="s">
        <v>183</v>
      </c>
      <c r="F374" s="16" t="s">
        <v>13</v>
      </c>
      <c r="G374" s="35">
        <f>TablaEgreso[[#This Row],[Egreso Total]]-TablaEgreso[[#This Row],[Total Crédito Fiscal]]</f>
        <v>330745.09999999998</v>
      </c>
      <c r="H374" s="16"/>
      <c r="I374" s="31">
        <f>IF(TablaEgreso[[#This Row],[Crédito Fiscal]]="Si",Configuración!$B$26,0)</f>
        <v>0</v>
      </c>
      <c r="J374" s="32">
        <f>TablaEgreso[[#This Row],[Egreso Total]]*TablaEgreso[[#This Row],[% de Crédito Fiscal]]</f>
        <v>0</v>
      </c>
      <c r="K374" s="146">
        <v>330745.09999999998</v>
      </c>
    </row>
    <row r="375" spans="2:11" ht="20.100000000000001" customHeight="1" x14ac:dyDescent="0.25">
      <c r="B375" s="140">
        <v>45645</v>
      </c>
      <c r="C375" s="127" t="str">
        <f>IF(Egresos!$B375="","",TEXT(Egresos!$B375,"MMMM" ))</f>
        <v>diciembre</v>
      </c>
      <c r="D375" s="16" t="s">
        <v>113</v>
      </c>
      <c r="E375" s="17" t="s">
        <v>460</v>
      </c>
      <c r="F375" s="16" t="s">
        <v>13</v>
      </c>
      <c r="G375" s="35">
        <f>TablaEgreso[[#This Row],[Egreso Total]]-TablaEgreso[[#This Row],[Total Crédito Fiscal]]</f>
        <v>149542.74</v>
      </c>
      <c r="H375" s="16"/>
      <c r="I375" s="31">
        <f>IF(TablaEgreso[[#This Row],[Crédito Fiscal]]="Si",Configuración!$B$26,0)</f>
        <v>0</v>
      </c>
      <c r="J375" s="32">
        <f>TablaEgreso[[#This Row],[Egreso Total]]*TablaEgreso[[#This Row],[% de Crédito Fiscal]]</f>
        <v>0</v>
      </c>
      <c r="K375" s="146">
        <v>149542.74</v>
      </c>
    </row>
    <row r="376" spans="2:11" ht="20.100000000000001" customHeight="1" x14ac:dyDescent="0.25">
      <c r="B376" s="140">
        <v>45645</v>
      </c>
      <c r="C376" s="127" t="str">
        <f>IF(Egresos!$B376="","",TEXT(Egresos!$B376,"MMMM" ))</f>
        <v>diciembre</v>
      </c>
      <c r="D376" s="16" t="s">
        <v>113</v>
      </c>
      <c r="E376" s="17" t="s">
        <v>460</v>
      </c>
      <c r="F376" s="16" t="s">
        <v>13</v>
      </c>
      <c r="G376" s="35">
        <f>TablaEgreso[[#This Row],[Egreso Total]]-TablaEgreso[[#This Row],[Total Crédito Fiscal]]</f>
        <v>147034.68</v>
      </c>
      <c r="H376" s="16"/>
      <c r="I376" s="31">
        <f>IF(TablaEgreso[[#This Row],[Crédito Fiscal]]="Si",Configuración!$B$26,0)</f>
        <v>0</v>
      </c>
      <c r="J376" s="32">
        <f>TablaEgreso[[#This Row],[Egreso Total]]*TablaEgreso[[#This Row],[% de Crédito Fiscal]]</f>
        <v>0</v>
      </c>
      <c r="K376" s="146">
        <v>147034.68</v>
      </c>
    </row>
    <row r="377" spans="2:11" ht="20.100000000000001" customHeight="1" x14ac:dyDescent="0.25">
      <c r="B377" s="140">
        <v>45645</v>
      </c>
      <c r="C377" s="127" t="str">
        <f>IF(Egresos!$B377="","",TEXT(Egresos!$B377,"MMMM" ))</f>
        <v>diciembre</v>
      </c>
      <c r="D377" s="16" t="s">
        <v>113</v>
      </c>
      <c r="E377" s="17" t="s">
        <v>461</v>
      </c>
      <c r="F377" s="16" t="s">
        <v>13</v>
      </c>
      <c r="G377" s="35">
        <f>TablaEgreso[[#This Row],[Egreso Total]]-TablaEgreso[[#This Row],[Total Crédito Fiscal]]</f>
        <v>371168.54</v>
      </c>
      <c r="H377" s="16"/>
      <c r="I377" s="31">
        <f>IF(TablaEgreso[[#This Row],[Crédito Fiscal]]="Si",Configuración!$B$26,0)</f>
        <v>0</v>
      </c>
      <c r="J377" s="32">
        <f>TablaEgreso[[#This Row],[Egreso Total]]*TablaEgreso[[#This Row],[% de Crédito Fiscal]]</f>
        <v>0</v>
      </c>
      <c r="K377" s="146">
        <v>371168.54</v>
      </c>
    </row>
    <row r="378" spans="2:11" ht="20.100000000000001" customHeight="1" x14ac:dyDescent="0.25">
      <c r="B378" s="140">
        <v>45645</v>
      </c>
      <c r="C378" s="127" t="str">
        <f>IF(Egresos!$B378="","",TEXT(Egresos!$B378,"MMMM" ))</f>
        <v>diciembre</v>
      </c>
      <c r="D378" s="16" t="s">
        <v>113</v>
      </c>
      <c r="E378" s="17" t="s">
        <v>462</v>
      </c>
      <c r="F378" s="16" t="s">
        <v>121</v>
      </c>
      <c r="G378" s="35">
        <f>TablaEgreso[[#This Row],[Egreso Total]]-TablaEgreso[[#This Row],[Total Crédito Fiscal]]</f>
        <v>0</v>
      </c>
      <c r="H378" s="16"/>
      <c r="I378" s="31">
        <f>IF(TablaEgreso[[#This Row],[Crédito Fiscal]]="Si",Configuración!$B$26,0)</f>
        <v>0</v>
      </c>
      <c r="J378" s="32">
        <f>TablaEgreso[[#This Row],[Egreso Total]]*TablaEgreso[[#This Row],[% de Crédito Fiscal]]</f>
        <v>0</v>
      </c>
      <c r="K378" s="146">
        <v>0</v>
      </c>
    </row>
    <row r="379" spans="2:11" ht="20.100000000000001" customHeight="1" x14ac:dyDescent="0.25">
      <c r="B379" s="140">
        <v>45645</v>
      </c>
      <c r="C379" s="127" t="str">
        <f>IF(Egresos!$B379="","",TEXT(Egresos!$B379,"MMMM" ))</f>
        <v>diciembre</v>
      </c>
      <c r="D379" s="16" t="s">
        <v>113</v>
      </c>
      <c r="E379" s="17" t="s">
        <v>463</v>
      </c>
      <c r="F379" s="16" t="s">
        <v>121</v>
      </c>
      <c r="G379" s="35">
        <f>TablaEgreso[[#This Row],[Egreso Total]]-TablaEgreso[[#This Row],[Total Crédito Fiscal]]</f>
        <v>0</v>
      </c>
      <c r="H379" s="16"/>
      <c r="I379" s="31">
        <f>IF(TablaEgreso[[#This Row],[Crédito Fiscal]]="Si",Configuración!$B$26,0)</f>
        <v>0</v>
      </c>
      <c r="J379" s="32">
        <f>TablaEgreso[[#This Row],[Egreso Total]]*TablaEgreso[[#This Row],[% de Crédito Fiscal]]</f>
        <v>0</v>
      </c>
      <c r="K379" s="146">
        <v>0</v>
      </c>
    </row>
    <row r="380" spans="2:11" ht="20.100000000000001" customHeight="1" x14ac:dyDescent="0.25">
      <c r="B380" s="140">
        <v>45645</v>
      </c>
      <c r="C380" s="127" t="str">
        <f>IF(Egresos!$B380="","",TEXT(Egresos!$B380,"MMMM" ))</f>
        <v>diciembre</v>
      </c>
      <c r="D380" s="16" t="s">
        <v>98</v>
      </c>
      <c r="E380" s="17" t="s">
        <v>464</v>
      </c>
      <c r="F380" s="16" t="s">
        <v>13</v>
      </c>
      <c r="G380" s="35">
        <f>TablaEgreso[[#This Row],[Egreso Total]]-TablaEgreso[[#This Row],[Total Crédito Fiscal]]</f>
        <v>400000</v>
      </c>
      <c r="H380" s="16"/>
      <c r="I380" s="31">
        <f>IF(TablaEgreso[[#This Row],[Crédito Fiscal]]="Si",Configuración!$B$26,0)</f>
        <v>0</v>
      </c>
      <c r="J380" s="32">
        <f>TablaEgreso[[#This Row],[Egreso Total]]*TablaEgreso[[#This Row],[% de Crédito Fiscal]]</f>
        <v>0</v>
      </c>
      <c r="K380" s="146">
        <v>400000</v>
      </c>
    </row>
    <row r="381" spans="2:11" ht="20.100000000000001" customHeight="1" x14ac:dyDescent="0.25">
      <c r="B381" s="140">
        <v>45642</v>
      </c>
      <c r="C381" s="127" t="str">
        <f>IF(Egresos!$B381="","",TEXT(Egresos!$B381,"MMMM" ))</f>
        <v>diciembre</v>
      </c>
      <c r="D381" s="16" t="s">
        <v>108</v>
      </c>
      <c r="E381" s="17" t="s">
        <v>465</v>
      </c>
      <c r="F381" s="16" t="s">
        <v>121</v>
      </c>
      <c r="G381" s="35">
        <f>TablaEgreso[[#This Row],[Egreso Total]]-TablaEgreso[[#This Row],[Total Crédito Fiscal]]</f>
        <v>0</v>
      </c>
      <c r="H381" s="16"/>
      <c r="I381" s="31">
        <f>IF(TablaEgreso[[#This Row],[Crédito Fiscal]]="Si",Configuración!$B$26,0)</f>
        <v>0</v>
      </c>
      <c r="J381" s="32">
        <f>TablaEgreso[[#This Row],[Egreso Total]]*TablaEgreso[[#This Row],[% de Crédito Fiscal]]</f>
        <v>0</v>
      </c>
      <c r="K381" s="146">
        <v>0</v>
      </c>
    </row>
    <row r="382" spans="2:11" ht="20.100000000000001" customHeight="1" x14ac:dyDescent="0.25">
      <c r="B382" s="140">
        <v>45642</v>
      </c>
      <c r="C382" s="127" t="str">
        <f>IF(Egresos!$B382="","",TEXT(Egresos!$B382,"MMMM" ))</f>
        <v>diciembre</v>
      </c>
      <c r="D382" s="16" t="s">
        <v>113</v>
      </c>
      <c r="E382" s="17" t="s">
        <v>465</v>
      </c>
      <c r="F382" s="16" t="s">
        <v>121</v>
      </c>
      <c r="G382" s="35">
        <f>TablaEgreso[[#This Row],[Egreso Total]]-TablaEgreso[[#This Row],[Total Crédito Fiscal]]</f>
        <v>0</v>
      </c>
      <c r="H382" s="16"/>
      <c r="I382" s="31">
        <f>IF(TablaEgreso[[#This Row],[Crédito Fiscal]]="Si",Configuración!$B$26,0)</f>
        <v>0</v>
      </c>
      <c r="J382" s="32">
        <f>TablaEgreso[[#This Row],[Egreso Total]]*TablaEgreso[[#This Row],[% de Crédito Fiscal]]</f>
        <v>0</v>
      </c>
      <c r="K382" s="146">
        <v>0</v>
      </c>
    </row>
    <row r="383" spans="2:11" ht="20.100000000000001" customHeight="1" x14ac:dyDescent="0.25">
      <c r="B383" s="140">
        <v>45642</v>
      </c>
      <c r="C383" s="127" t="str">
        <f>IF(Egresos!$B383="","",TEXT(Egresos!$B383,"MMMM" ))</f>
        <v>diciembre</v>
      </c>
      <c r="D383" s="16" t="s">
        <v>113</v>
      </c>
      <c r="E383" s="17" t="s">
        <v>465</v>
      </c>
      <c r="F383" s="16" t="s">
        <v>121</v>
      </c>
      <c r="G383" s="35">
        <f>TablaEgreso[[#This Row],[Egreso Total]]-TablaEgreso[[#This Row],[Total Crédito Fiscal]]</f>
        <v>0</v>
      </c>
      <c r="H383" s="16"/>
      <c r="I383" s="31">
        <f>IF(TablaEgreso[[#This Row],[Crédito Fiscal]]="Si",Configuración!$B$26,0)</f>
        <v>0</v>
      </c>
      <c r="J383" s="32">
        <f>TablaEgreso[[#This Row],[Egreso Total]]*TablaEgreso[[#This Row],[% de Crédito Fiscal]]</f>
        <v>0</v>
      </c>
      <c r="K383" s="146">
        <v>0</v>
      </c>
    </row>
    <row r="384" spans="2:11" ht="20.100000000000001" customHeight="1" x14ac:dyDescent="0.25">
      <c r="B384" s="140">
        <v>45642</v>
      </c>
      <c r="C384" s="127" t="str">
        <f>IF(Egresos!$B384="","",TEXT(Egresos!$B384,"MMMM" ))</f>
        <v>diciembre</v>
      </c>
      <c r="D384" s="16" t="s">
        <v>113</v>
      </c>
      <c r="E384" s="17" t="s">
        <v>465</v>
      </c>
      <c r="F384" s="16" t="s">
        <v>121</v>
      </c>
      <c r="G384" s="35">
        <f>TablaEgreso[[#This Row],[Egreso Total]]-TablaEgreso[[#This Row],[Total Crédito Fiscal]]</f>
        <v>0</v>
      </c>
      <c r="H384" s="16"/>
      <c r="I384" s="31">
        <f>IF(TablaEgreso[[#This Row],[Crédito Fiscal]]="Si",Configuración!$B$26,0)</f>
        <v>0</v>
      </c>
      <c r="J384" s="32">
        <f>TablaEgreso[[#This Row],[Egreso Total]]*TablaEgreso[[#This Row],[% de Crédito Fiscal]]</f>
        <v>0</v>
      </c>
      <c r="K384" s="146">
        <v>0</v>
      </c>
    </row>
    <row r="385" spans="2:11" ht="20.100000000000001" customHeight="1" x14ac:dyDescent="0.25">
      <c r="B385" s="140">
        <v>45645</v>
      </c>
      <c r="C385" s="127" t="str">
        <f>IF(Egresos!$B385="","",TEXT(Egresos!$B385,"MMMM" ))</f>
        <v>diciembre</v>
      </c>
      <c r="D385" s="16" t="s">
        <v>113</v>
      </c>
      <c r="E385" s="17" t="s">
        <v>466</v>
      </c>
      <c r="F385" s="16" t="s">
        <v>121</v>
      </c>
      <c r="G385" s="35">
        <f>TablaEgreso[[#This Row],[Egreso Total]]-TablaEgreso[[#This Row],[Total Crédito Fiscal]]</f>
        <v>0</v>
      </c>
      <c r="H385" s="16"/>
      <c r="I385" s="31">
        <f>IF(TablaEgreso[[#This Row],[Crédito Fiscal]]="Si",Configuración!$B$26,0)</f>
        <v>0</v>
      </c>
      <c r="J385" s="32">
        <f>TablaEgreso[[#This Row],[Egreso Total]]*TablaEgreso[[#This Row],[% de Crédito Fiscal]]</f>
        <v>0</v>
      </c>
      <c r="K385" s="146">
        <v>0</v>
      </c>
    </row>
    <row r="386" spans="2:11" ht="20.100000000000001" customHeight="1" x14ac:dyDescent="0.25">
      <c r="B386" s="140">
        <v>45645</v>
      </c>
      <c r="C386" s="127" t="str">
        <f>IF(Egresos!$B386="","",TEXT(Egresos!$B386,"MMMM" ))</f>
        <v>diciembre</v>
      </c>
      <c r="D386" s="16" t="s">
        <v>113</v>
      </c>
      <c r="E386" s="17" t="s">
        <v>467</v>
      </c>
      <c r="F386" s="16" t="s">
        <v>121</v>
      </c>
      <c r="G386" s="35">
        <f>TablaEgreso[[#This Row],[Egreso Total]]-TablaEgreso[[#This Row],[Total Crédito Fiscal]]</f>
        <v>0</v>
      </c>
      <c r="H386" s="16"/>
      <c r="I386" s="31">
        <f>IF(TablaEgreso[[#This Row],[Crédito Fiscal]]="Si",Configuración!$B$26,0)</f>
        <v>0</v>
      </c>
      <c r="J386" s="32">
        <f>TablaEgreso[[#This Row],[Egreso Total]]*TablaEgreso[[#This Row],[% de Crédito Fiscal]]</f>
        <v>0</v>
      </c>
      <c r="K386" s="146">
        <v>0</v>
      </c>
    </row>
    <row r="387" spans="2:11" ht="20.100000000000001" customHeight="1" x14ac:dyDescent="0.25">
      <c r="B387" s="140">
        <v>45645</v>
      </c>
      <c r="C387" s="127" t="str">
        <f>IF(Egresos!$B387="","",TEXT(Egresos!$B387,"MMMM" ))</f>
        <v>diciembre</v>
      </c>
      <c r="D387" s="16" t="s">
        <v>113</v>
      </c>
      <c r="E387" s="17" t="s">
        <v>468</v>
      </c>
      <c r="F387" s="16" t="s">
        <v>121</v>
      </c>
      <c r="G387" s="35">
        <f>TablaEgreso[[#This Row],[Egreso Total]]-TablaEgreso[[#This Row],[Total Crédito Fiscal]]</f>
        <v>0</v>
      </c>
      <c r="H387" s="16"/>
      <c r="I387" s="31">
        <f>IF(TablaEgreso[[#This Row],[Crédito Fiscal]]="Si",Configuración!$B$26,0)</f>
        <v>0</v>
      </c>
      <c r="J387" s="32">
        <f>TablaEgreso[[#This Row],[Egreso Total]]*TablaEgreso[[#This Row],[% de Crédito Fiscal]]</f>
        <v>0</v>
      </c>
      <c r="K387" s="146">
        <v>0</v>
      </c>
    </row>
    <row r="388" spans="2:11" ht="20.100000000000001" customHeight="1" x14ac:dyDescent="0.25">
      <c r="B388" s="140">
        <v>45645</v>
      </c>
      <c r="C388" s="127" t="str">
        <f>IF(Egresos!$B388="","",TEXT(Egresos!$B388,"MMMM" ))</f>
        <v>diciembre</v>
      </c>
      <c r="D388" s="16" t="s">
        <v>111</v>
      </c>
      <c r="E388" s="17" t="s">
        <v>469</v>
      </c>
      <c r="F388" s="16" t="s">
        <v>121</v>
      </c>
      <c r="G388" s="35">
        <f>TablaEgreso[[#This Row],[Egreso Total]]-TablaEgreso[[#This Row],[Total Crédito Fiscal]]</f>
        <v>0</v>
      </c>
      <c r="H388" s="16"/>
      <c r="I388" s="31">
        <f>IF(TablaEgreso[[#This Row],[Crédito Fiscal]]="Si",Configuración!$B$26,0)</f>
        <v>0</v>
      </c>
      <c r="J388" s="32">
        <f>TablaEgreso[[#This Row],[Egreso Total]]*TablaEgreso[[#This Row],[% de Crédito Fiscal]]</f>
        <v>0</v>
      </c>
      <c r="K388" s="146">
        <v>0</v>
      </c>
    </row>
    <row r="389" spans="2:11" ht="20.100000000000001" customHeight="1" x14ac:dyDescent="0.25">
      <c r="B389" s="140">
        <v>45645</v>
      </c>
      <c r="C389" s="127" t="str">
        <f>IF(Egresos!$B389="","",TEXT(Egresos!$B389,"MMMM" ))</f>
        <v>diciembre</v>
      </c>
      <c r="D389" s="16" t="s">
        <v>111</v>
      </c>
      <c r="E389" s="17" t="s">
        <v>470</v>
      </c>
      <c r="F389" s="16" t="s">
        <v>121</v>
      </c>
      <c r="G389" s="35">
        <f>TablaEgreso[[#This Row],[Egreso Total]]-TablaEgreso[[#This Row],[Total Crédito Fiscal]]</f>
        <v>0</v>
      </c>
      <c r="H389" s="16"/>
      <c r="I389" s="31">
        <f>IF(TablaEgreso[[#This Row],[Crédito Fiscal]]="Si",Configuración!$B$26,0)</f>
        <v>0</v>
      </c>
      <c r="J389" s="32">
        <f>TablaEgreso[[#This Row],[Egreso Total]]*TablaEgreso[[#This Row],[% de Crédito Fiscal]]</f>
        <v>0</v>
      </c>
      <c r="K389" s="146">
        <v>0</v>
      </c>
    </row>
    <row r="390" spans="2:11" ht="20.100000000000001" customHeight="1" x14ac:dyDescent="0.25">
      <c r="B390" s="140">
        <v>45645</v>
      </c>
      <c r="C390" s="127" t="str">
        <f>IF(Egresos!$B390="","",TEXT(Egresos!$B390,"MMMM" ))</f>
        <v>diciembre</v>
      </c>
      <c r="D390" s="16" t="s">
        <v>113</v>
      </c>
      <c r="E390" s="17" t="s">
        <v>471</v>
      </c>
      <c r="F390" s="16" t="s">
        <v>13</v>
      </c>
      <c r="G390" s="35">
        <f>TablaEgreso[[#This Row],[Egreso Total]]-TablaEgreso[[#This Row],[Total Crédito Fiscal]]</f>
        <v>223182.77</v>
      </c>
      <c r="H390" s="16"/>
      <c r="I390" s="31">
        <f>IF(TablaEgreso[[#This Row],[Crédito Fiscal]]="Si",Configuración!$B$26,0)</f>
        <v>0</v>
      </c>
      <c r="J390" s="32">
        <f>TablaEgreso[[#This Row],[Egreso Total]]*TablaEgreso[[#This Row],[% de Crédito Fiscal]]</f>
        <v>0</v>
      </c>
      <c r="K390" s="146">
        <v>223182.77</v>
      </c>
    </row>
    <row r="391" spans="2:11" ht="20.100000000000001" customHeight="1" x14ac:dyDescent="0.25">
      <c r="B391" s="140">
        <v>45645</v>
      </c>
      <c r="C391" s="127" t="str">
        <f>IF(Egresos!$B391="","",TEXT(Egresos!$B391,"MMMM" ))</f>
        <v>diciembre</v>
      </c>
      <c r="D391" s="16" t="s">
        <v>113</v>
      </c>
      <c r="E391" s="17" t="s">
        <v>472</v>
      </c>
      <c r="F391" s="16" t="s">
        <v>13</v>
      </c>
      <c r="G391" s="35">
        <f>TablaEgreso[[#This Row],[Egreso Total]]-TablaEgreso[[#This Row],[Total Crédito Fiscal]]</f>
        <v>143978.60999999999</v>
      </c>
      <c r="H391" s="16"/>
      <c r="I391" s="31">
        <f>IF(TablaEgreso[[#This Row],[Crédito Fiscal]]="Si",Configuración!$B$26,0)</f>
        <v>0</v>
      </c>
      <c r="J391" s="32">
        <f>TablaEgreso[[#This Row],[Egreso Total]]*TablaEgreso[[#This Row],[% de Crédito Fiscal]]</f>
        <v>0</v>
      </c>
      <c r="K391" s="146">
        <v>143978.60999999999</v>
      </c>
    </row>
    <row r="392" spans="2:11" ht="20.100000000000001" customHeight="1" x14ac:dyDescent="0.25">
      <c r="B392" s="140">
        <v>45645</v>
      </c>
      <c r="C392" s="127" t="str">
        <f>IF(Egresos!$B392="","",TEXT(Egresos!$B392,"MMMM" ))</f>
        <v>diciembre</v>
      </c>
      <c r="D392" s="16" t="s">
        <v>113</v>
      </c>
      <c r="E392" s="17" t="s">
        <v>473</v>
      </c>
      <c r="F392" s="16" t="s">
        <v>13</v>
      </c>
      <c r="G392" s="35">
        <f>TablaEgreso[[#This Row],[Egreso Total]]-TablaEgreso[[#This Row],[Total Crédito Fiscal]]</f>
        <v>134382.82</v>
      </c>
      <c r="H392" s="16"/>
      <c r="I392" s="31">
        <f>IF(TablaEgreso[[#This Row],[Crédito Fiscal]]="Si",Configuración!$B$26,0)</f>
        <v>0</v>
      </c>
      <c r="J392" s="32">
        <f>TablaEgreso[[#This Row],[Egreso Total]]*TablaEgreso[[#This Row],[% de Crédito Fiscal]]</f>
        <v>0</v>
      </c>
      <c r="K392" s="146">
        <v>134382.82</v>
      </c>
    </row>
    <row r="393" spans="2:11" ht="20.100000000000001" customHeight="1" x14ac:dyDescent="0.25">
      <c r="B393" s="140">
        <v>45645</v>
      </c>
      <c r="C393" s="127" t="str">
        <f>IF(Egresos!$B393="","",TEXT(Egresos!$B393,"MMMM" ))</f>
        <v>diciembre</v>
      </c>
      <c r="D393" s="16" t="s">
        <v>19</v>
      </c>
      <c r="E393" s="17" t="s">
        <v>474</v>
      </c>
      <c r="F393" s="16" t="s">
        <v>12</v>
      </c>
      <c r="G393" s="35">
        <f>TablaEgreso[[#This Row],[Egreso Total]]-TablaEgreso[[#This Row],[Total Crédito Fiscal]]</f>
        <v>600000</v>
      </c>
      <c r="H393" s="16"/>
      <c r="I393" s="31">
        <f>IF(TablaEgreso[[#This Row],[Crédito Fiscal]]="Si",Configuración!$B$26,0)</f>
        <v>0</v>
      </c>
      <c r="J393" s="32">
        <f>TablaEgreso[[#This Row],[Egreso Total]]*TablaEgreso[[#This Row],[% de Crédito Fiscal]]</f>
        <v>0</v>
      </c>
      <c r="K393" s="146">
        <v>600000</v>
      </c>
    </row>
    <row r="394" spans="2:11" ht="20.100000000000001" customHeight="1" x14ac:dyDescent="0.25">
      <c r="B394" s="140">
        <v>45644</v>
      </c>
      <c r="C394" s="127" t="str">
        <f>IF(Egresos!$B394="","",TEXT(Egresos!$B394,"MMMM" ))</f>
        <v>diciembre</v>
      </c>
      <c r="D394" s="16" t="s">
        <v>114</v>
      </c>
      <c r="E394" s="17" t="s">
        <v>475</v>
      </c>
      <c r="F394" s="16" t="s">
        <v>118</v>
      </c>
      <c r="G394" s="35">
        <f>TablaEgreso[[#This Row],[Egreso Total]]-TablaEgreso[[#This Row],[Total Crédito Fiscal]]</f>
        <v>0</v>
      </c>
      <c r="H394" s="16"/>
      <c r="I394" s="31">
        <f>IF(TablaEgreso[[#This Row],[Crédito Fiscal]]="Si",Configuración!$B$26,0)</f>
        <v>0</v>
      </c>
      <c r="J394" s="32">
        <f>TablaEgreso[[#This Row],[Egreso Total]]*TablaEgreso[[#This Row],[% de Crédito Fiscal]]</f>
        <v>0</v>
      </c>
      <c r="K394" s="146">
        <v>0</v>
      </c>
    </row>
    <row r="395" spans="2:11" ht="20.100000000000001" customHeight="1" x14ac:dyDescent="0.25">
      <c r="B395" s="140">
        <v>45637</v>
      </c>
      <c r="C395" s="127" t="str">
        <f>IF(Egresos!$B395="","",TEXT(Egresos!$B395,"MMMM" ))</f>
        <v>diciembre</v>
      </c>
      <c r="D395" s="16" t="s">
        <v>100</v>
      </c>
      <c r="E395" s="17" t="s">
        <v>476</v>
      </c>
      <c r="F395" s="16" t="s">
        <v>120</v>
      </c>
      <c r="G395" s="35">
        <f>TablaEgreso[[#This Row],[Egreso Total]]-TablaEgreso[[#This Row],[Total Crédito Fiscal]]</f>
        <v>25000</v>
      </c>
      <c r="H395" s="16"/>
      <c r="I395" s="31">
        <f>IF(TablaEgreso[[#This Row],[Crédito Fiscal]]="Si",Configuración!$B$26,0)</f>
        <v>0</v>
      </c>
      <c r="J395" s="32">
        <f>TablaEgreso[[#This Row],[Egreso Total]]*TablaEgreso[[#This Row],[% de Crédito Fiscal]]</f>
        <v>0</v>
      </c>
      <c r="K395" s="146">
        <v>25000</v>
      </c>
    </row>
    <row r="396" spans="2:11" ht="20.100000000000001" customHeight="1" x14ac:dyDescent="0.25">
      <c r="B396" s="140">
        <v>45637</v>
      </c>
      <c r="C396" s="127" t="str">
        <f>IF(Egresos!$B396="","",TEXT(Egresos!$B396,"MMMM" ))</f>
        <v>diciembre</v>
      </c>
      <c r="D396" s="16" t="s">
        <v>101</v>
      </c>
      <c r="E396" s="17" t="s">
        <v>375</v>
      </c>
      <c r="F396" s="16" t="s">
        <v>120</v>
      </c>
      <c r="G396" s="35">
        <f>TablaEgreso[[#This Row],[Egreso Total]]-TablaEgreso[[#This Row],[Total Crédito Fiscal]]</f>
        <v>53996.03</v>
      </c>
      <c r="H396" s="16"/>
      <c r="I396" s="31">
        <f>IF(TablaEgreso[[#This Row],[Crédito Fiscal]]="Si",Configuración!$B$26,0)</f>
        <v>0</v>
      </c>
      <c r="J396" s="32">
        <f>TablaEgreso[[#This Row],[Egreso Total]]*TablaEgreso[[#This Row],[% de Crédito Fiscal]]</f>
        <v>0</v>
      </c>
      <c r="K396" s="146">
        <v>53996.03</v>
      </c>
    </row>
    <row r="397" spans="2:11" ht="20.100000000000001" customHeight="1" x14ac:dyDescent="0.25">
      <c r="B397" s="140">
        <v>45629</v>
      </c>
      <c r="C397" s="127" t="str">
        <f>IF(Egresos!$B397="","",TEXT(Egresos!$B397,"MMMM" ))</f>
        <v>diciembre</v>
      </c>
      <c r="D397" s="16" t="s">
        <v>110</v>
      </c>
      <c r="E397" s="17" t="s">
        <v>477</v>
      </c>
      <c r="F397" s="16" t="s">
        <v>118</v>
      </c>
      <c r="G397" s="35">
        <f>TablaEgreso[[#This Row],[Egreso Total]]-TablaEgreso[[#This Row],[Total Crédito Fiscal]]</f>
        <v>45600</v>
      </c>
      <c r="H397" s="16"/>
      <c r="I397" s="31">
        <f>IF(TablaEgreso[[#This Row],[Crédito Fiscal]]="Si",Configuración!$B$26,0)</f>
        <v>0</v>
      </c>
      <c r="J397" s="32">
        <f>TablaEgreso[[#This Row],[Egreso Total]]*TablaEgreso[[#This Row],[% de Crédito Fiscal]]</f>
        <v>0</v>
      </c>
      <c r="K397" s="146">
        <v>45600</v>
      </c>
    </row>
    <row r="398" spans="2:11" ht="20.100000000000001" customHeight="1" x14ac:dyDescent="0.25">
      <c r="B398" s="140">
        <v>45629</v>
      </c>
      <c r="C398" s="127" t="str">
        <f>IF(Egresos!$B398="","",TEXT(Egresos!$B398,"MMMM" ))</f>
        <v>diciembre</v>
      </c>
      <c r="D398" s="16" t="s">
        <v>110</v>
      </c>
      <c r="E398" s="17" t="s">
        <v>478</v>
      </c>
      <c r="F398" s="16" t="s">
        <v>118</v>
      </c>
      <c r="G398" s="35">
        <f>TablaEgreso[[#This Row],[Egreso Total]]-TablaEgreso[[#This Row],[Total Crédito Fiscal]]</f>
        <v>112000</v>
      </c>
      <c r="H398" s="16"/>
      <c r="I398" s="31">
        <f>IF(TablaEgreso[[#This Row],[Crédito Fiscal]]="Si",Configuración!$B$26,0)</f>
        <v>0</v>
      </c>
      <c r="J398" s="32">
        <f>TablaEgreso[[#This Row],[Egreso Total]]*TablaEgreso[[#This Row],[% de Crédito Fiscal]]</f>
        <v>0</v>
      </c>
      <c r="K398" s="146">
        <v>112000</v>
      </c>
    </row>
    <row r="399" spans="2:11" ht="20.100000000000001" customHeight="1" x14ac:dyDescent="0.25">
      <c r="B399" s="140">
        <v>45639</v>
      </c>
      <c r="C399" s="127" t="str">
        <f>IF(Egresos!$B399="","",TEXT(Egresos!$B399,"MMMM" ))</f>
        <v>diciembre</v>
      </c>
      <c r="D399" s="16" t="s">
        <v>101</v>
      </c>
      <c r="E399" s="17" t="s">
        <v>191</v>
      </c>
      <c r="F399" s="16" t="s">
        <v>118</v>
      </c>
      <c r="G399" s="35">
        <f>TablaEgreso[[#This Row],[Egreso Total]]-TablaEgreso[[#This Row],[Total Crédito Fiscal]]</f>
        <v>170000</v>
      </c>
      <c r="H399" s="16"/>
      <c r="I399" s="31">
        <f>IF(TablaEgreso[[#This Row],[Crédito Fiscal]]="Si",Configuración!$B$26,0)</f>
        <v>0</v>
      </c>
      <c r="J399" s="32">
        <f>TablaEgreso[[#This Row],[Egreso Total]]*TablaEgreso[[#This Row],[% de Crédito Fiscal]]</f>
        <v>0</v>
      </c>
      <c r="K399" s="146">
        <v>170000</v>
      </c>
    </row>
    <row r="400" spans="2:11" ht="20.100000000000001" customHeight="1" x14ac:dyDescent="0.25">
      <c r="B400" s="140">
        <v>45645</v>
      </c>
      <c r="C400" s="127" t="str">
        <f>IF(Egresos!$B400="","",TEXT(Egresos!$B400,"MMMM" ))</f>
        <v>diciembre</v>
      </c>
      <c r="D400" s="16" t="s">
        <v>100</v>
      </c>
      <c r="E400" s="17" t="s">
        <v>480</v>
      </c>
      <c r="F400" s="16" t="s">
        <v>118</v>
      </c>
      <c r="G400" s="35">
        <f>TablaEgreso[[#This Row],[Egreso Total]]-TablaEgreso[[#This Row],[Total Crédito Fiscal]]</f>
        <v>1000000</v>
      </c>
      <c r="H400" s="16"/>
      <c r="I400" s="31">
        <f>IF(TablaEgreso[[#This Row],[Crédito Fiscal]]="Si",Configuración!$B$26,0)</f>
        <v>0</v>
      </c>
      <c r="J400" s="32">
        <f>TablaEgreso[[#This Row],[Egreso Total]]*TablaEgreso[[#This Row],[% de Crédito Fiscal]]</f>
        <v>0</v>
      </c>
      <c r="K400" s="146">
        <v>1000000</v>
      </c>
    </row>
    <row r="401" spans="2:11" ht="20.100000000000001" customHeight="1" x14ac:dyDescent="0.25">
      <c r="B401" s="140">
        <v>45645</v>
      </c>
      <c r="C401" s="127" t="str">
        <f>IF(Egresos!$B401="","",TEXT(Egresos!$B401,"MMMM" ))</f>
        <v>diciembre</v>
      </c>
      <c r="D401" s="16" t="s">
        <v>101</v>
      </c>
      <c r="E401" s="17" t="s">
        <v>166</v>
      </c>
      <c r="F401" s="16" t="s">
        <v>118</v>
      </c>
      <c r="G401" s="35">
        <f>TablaEgreso[[#This Row],[Egreso Total]]-TablaEgreso[[#This Row],[Total Crédito Fiscal]]</f>
        <v>55000</v>
      </c>
      <c r="H401" s="16"/>
      <c r="I401" s="31">
        <f>IF(TablaEgreso[[#This Row],[Crédito Fiscal]]="Si",Configuración!$B$26,0)</f>
        <v>0</v>
      </c>
      <c r="J401" s="32">
        <f>TablaEgreso[[#This Row],[Egreso Total]]*TablaEgreso[[#This Row],[% de Crédito Fiscal]]</f>
        <v>0</v>
      </c>
      <c r="K401" s="146">
        <v>55000</v>
      </c>
    </row>
    <row r="402" spans="2:11" ht="20.100000000000001" customHeight="1" x14ac:dyDescent="0.25">
      <c r="B402" s="140">
        <v>45645</v>
      </c>
      <c r="C402" s="127" t="str">
        <f>IF(Egresos!$B402="","",TEXT(Egresos!$B402,"MMMM" ))</f>
        <v>diciembre</v>
      </c>
      <c r="D402" s="16" t="s">
        <v>113</v>
      </c>
      <c r="E402" s="17" t="s">
        <v>482</v>
      </c>
      <c r="F402" s="16" t="s">
        <v>119</v>
      </c>
      <c r="G402" s="35">
        <f>TablaEgreso[[#This Row],[Egreso Total]]-TablaEgreso[[#This Row],[Total Crédito Fiscal]]</f>
        <v>24000</v>
      </c>
      <c r="H402" s="16"/>
      <c r="I402" s="31">
        <f>IF(TablaEgreso[[#This Row],[Crédito Fiscal]]="Si",Configuración!$B$26,0)</f>
        <v>0</v>
      </c>
      <c r="J402" s="32">
        <f>TablaEgreso[[#This Row],[Egreso Total]]*TablaEgreso[[#This Row],[% de Crédito Fiscal]]</f>
        <v>0</v>
      </c>
      <c r="K402" s="146">
        <v>24000</v>
      </c>
    </row>
    <row r="403" spans="2:11" ht="20.100000000000001" customHeight="1" x14ac:dyDescent="0.25">
      <c r="B403" s="140">
        <v>45645</v>
      </c>
      <c r="C403" s="127" t="str">
        <f>IF(Egresos!$B403="","",TEXT(Egresos!$B403,"MMMM" ))</f>
        <v>diciembre</v>
      </c>
      <c r="D403" s="16" t="s">
        <v>114</v>
      </c>
      <c r="E403" s="17" t="s">
        <v>483</v>
      </c>
      <c r="F403" s="16" t="s">
        <v>119</v>
      </c>
      <c r="G403" s="35">
        <f>TablaEgreso[[#This Row],[Egreso Total]]-TablaEgreso[[#This Row],[Total Crédito Fiscal]]</f>
        <v>0</v>
      </c>
      <c r="H403" s="16"/>
      <c r="I403" s="31">
        <f>IF(TablaEgreso[[#This Row],[Crédito Fiscal]]="Si",Configuración!$B$26,0)</f>
        <v>0</v>
      </c>
      <c r="J403" s="32">
        <f>TablaEgreso[[#This Row],[Egreso Total]]*TablaEgreso[[#This Row],[% de Crédito Fiscal]]</f>
        <v>0</v>
      </c>
      <c r="K403" s="146">
        <v>0</v>
      </c>
    </row>
    <row r="404" spans="2:11" ht="20.100000000000001" customHeight="1" x14ac:dyDescent="0.25">
      <c r="B404" s="140">
        <v>45645</v>
      </c>
      <c r="C404" s="127" t="str">
        <f>IF(Egresos!$B404="","",TEXT(Egresos!$B404,"MMMM" ))</f>
        <v>diciembre</v>
      </c>
      <c r="D404" s="16" t="s">
        <v>113</v>
      </c>
      <c r="E404" s="17" t="s">
        <v>484</v>
      </c>
      <c r="F404" s="16" t="s">
        <v>119</v>
      </c>
      <c r="G404" s="35">
        <f>TablaEgreso[[#This Row],[Egreso Total]]-TablaEgreso[[#This Row],[Total Crédito Fiscal]]</f>
        <v>18000</v>
      </c>
      <c r="H404" s="16"/>
      <c r="I404" s="31">
        <f>IF(TablaEgreso[[#This Row],[Crédito Fiscal]]="Si",Configuración!$B$26,0)</f>
        <v>0</v>
      </c>
      <c r="J404" s="32">
        <f>TablaEgreso[[#This Row],[Egreso Total]]*TablaEgreso[[#This Row],[% de Crédito Fiscal]]</f>
        <v>0</v>
      </c>
      <c r="K404" s="146">
        <v>18000</v>
      </c>
    </row>
    <row r="405" spans="2:11" ht="20.100000000000001" customHeight="1" x14ac:dyDescent="0.25">
      <c r="B405" s="140">
        <v>45645</v>
      </c>
      <c r="C405" s="127" t="str">
        <f>IF(Egresos!$B405="","",TEXT(Egresos!$B405,"MMMM" ))</f>
        <v>diciembre</v>
      </c>
      <c r="D405" s="16" t="s">
        <v>108</v>
      </c>
      <c r="E405" s="17" t="s">
        <v>485</v>
      </c>
      <c r="F405" s="16" t="s">
        <v>119</v>
      </c>
      <c r="G405" s="35">
        <f>TablaEgreso[[#This Row],[Egreso Total]]-TablaEgreso[[#This Row],[Total Crédito Fiscal]]</f>
        <v>5000</v>
      </c>
      <c r="H405" s="16"/>
      <c r="I405" s="31">
        <f>IF(TablaEgreso[[#This Row],[Crédito Fiscal]]="Si",Configuración!$B$26,0)</f>
        <v>0</v>
      </c>
      <c r="J405" s="32">
        <f>TablaEgreso[[#This Row],[Egreso Total]]*TablaEgreso[[#This Row],[% de Crédito Fiscal]]</f>
        <v>0</v>
      </c>
      <c r="K405" s="146">
        <v>5000</v>
      </c>
    </row>
    <row r="406" spans="2:11" ht="20.100000000000001" customHeight="1" x14ac:dyDescent="0.25">
      <c r="B406" s="140">
        <v>45645</v>
      </c>
      <c r="C406" s="127" t="str">
        <f>IF(Egresos!$B406="","",TEXT(Egresos!$B406,"MMMM" ))</f>
        <v>diciembre</v>
      </c>
      <c r="D406" s="16" t="s">
        <v>102</v>
      </c>
      <c r="E406" s="17" t="s">
        <v>329</v>
      </c>
      <c r="F406" s="16" t="s">
        <v>119</v>
      </c>
      <c r="G406" s="35">
        <f>TablaEgreso[[#This Row],[Egreso Total]]-TablaEgreso[[#This Row],[Total Crédito Fiscal]]</f>
        <v>22500</v>
      </c>
      <c r="H406" s="16"/>
      <c r="I406" s="31">
        <f>IF(TablaEgreso[[#This Row],[Crédito Fiscal]]="Si",Configuración!$B$26,0)</f>
        <v>0</v>
      </c>
      <c r="J406" s="32">
        <f>TablaEgreso[[#This Row],[Egreso Total]]*TablaEgreso[[#This Row],[% de Crédito Fiscal]]</f>
        <v>0</v>
      </c>
      <c r="K406" s="146">
        <v>22500</v>
      </c>
    </row>
    <row r="407" spans="2:11" ht="20.100000000000001" customHeight="1" x14ac:dyDescent="0.25">
      <c r="B407" s="140">
        <v>45645</v>
      </c>
      <c r="C407" s="127" t="str">
        <f>IF(Egresos!$B407="","",TEXT(Egresos!$B407,"MMMM" ))</f>
        <v>diciembre</v>
      </c>
      <c r="D407" s="16" t="s">
        <v>108</v>
      </c>
      <c r="E407" s="17" t="s">
        <v>486</v>
      </c>
      <c r="F407" s="16" t="s">
        <v>119</v>
      </c>
      <c r="G407" s="35">
        <f>TablaEgreso[[#This Row],[Egreso Total]]-TablaEgreso[[#This Row],[Total Crédito Fiscal]]</f>
        <v>1315.97</v>
      </c>
      <c r="H407" s="16"/>
      <c r="I407" s="31">
        <f>IF(TablaEgreso[[#This Row],[Crédito Fiscal]]="Si",Configuración!$B$26,0)</f>
        <v>0</v>
      </c>
      <c r="J407" s="32">
        <f>TablaEgreso[[#This Row],[Egreso Total]]*TablaEgreso[[#This Row],[% de Crédito Fiscal]]</f>
        <v>0</v>
      </c>
      <c r="K407" s="146">
        <v>1315.97</v>
      </c>
    </row>
    <row r="408" spans="2:11" ht="20.100000000000001" customHeight="1" x14ac:dyDescent="0.25">
      <c r="B408" s="140">
        <v>45645</v>
      </c>
      <c r="C408" s="127" t="str">
        <f>IF(Egresos!$B408="","",TEXT(Egresos!$B408,"MMMM" ))</f>
        <v>diciembre</v>
      </c>
      <c r="D408" s="16" t="s">
        <v>114</v>
      </c>
      <c r="E408" s="17" t="s">
        <v>487</v>
      </c>
      <c r="F408" s="16" t="s">
        <v>120</v>
      </c>
      <c r="G408" s="35">
        <f>TablaEgreso[[#This Row],[Egreso Total]]-TablaEgreso[[#This Row],[Total Crédito Fiscal]]</f>
        <v>0</v>
      </c>
      <c r="H408" s="16"/>
      <c r="I408" s="31">
        <f>IF(TablaEgreso[[#This Row],[Crédito Fiscal]]="Si",Configuración!$B$26,0)</f>
        <v>0</v>
      </c>
      <c r="J408" s="32">
        <f>TablaEgreso[[#This Row],[Egreso Total]]*TablaEgreso[[#This Row],[% de Crédito Fiscal]]</f>
        <v>0</v>
      </c>
      <c r="K408" s="146">
        <v>0</v>
      </c>
    </row>
    <row r="409" spans="2:11" ht="20.100000000000001" customHeight="1" x14ac:dyDescent="0.25">
      <c r="B409" s="140">
        <v>45645</v>
      </c>
      <c r="C409" s="127" t="str">
        <f>IF(Egresos!$B409="","",TEXT(Egresos!$B409,"MMMM" ))</f>
        <v>diciembre</v>
      </c>
      <c r="D409" s="16" t="s">
        <v>113</v>
      </c>
      <c r="E409" s="17" t="s">
        <v>172</v>
      </c>
      <c r="F409" s="16" t="s">
        <v>120</v>
      </c>
      <c r="G409" s="35">
        <f>TablaEgreso[[#This Row],[Egreso Total]]-TablaEgreso[[#This Row],[Total Crédito Fiscal]]</f>
        <v>7000</v>
      </c>
      <c r="H409" s="16"/>
      <c r="I409" s="31">
        <f>IF(TablaEgreso[[#This Row],[Crédito Fiscal]]="Si",Configuración!$B$26,0)</f>
        <v>0</v>
      </c>
      <c r="J409" s="32">
        <f>TablaEgreso[[#This Row],[Egreso Total]]*TablaEgreso[[#This Row],[% de Crédito Fiscal]]</f>
        <v>0</v>
      </c>
      <c r="K409" s="146">
        <v>7000</v>
      </c>
    </row>
    <row r="410" spans="2:11" ht="20.100000000000001" customHeight="1" x14ac:dyDescent="0.25">
      <c r="B410" s="140">
        <v>45645</v>
      </c>
      <c r="C410" s="127" t="str">
        <f>IF(Egresos!$B410="","",TEXT(Egresos!$B410,"MMMM" ))</f>
        <v>diciembre</v>
      </c>
      <c r="D410" s="16" t="s">
        <v>102</v>
      </c>
      <c r="E410" s="17" t="s">
        <v>488</v>
      </c>
      <c r="F410" s="16" t="s">
        <v>120</v>
      </c>
      <c r="G410" s="35">
        <f>TablaEgreso[[#This Row],[Egreso Total]]-TablaEgreso[[#This Row],[Total Crédito Fiscal]]</f>
        <v>3100</v>
      </c>
      <c r="H410" s="16"/>
      <c r="I410" s="31">
        <f>IF(TablaEgreso[[#This Row],[Crédito Fiscal]]="Si",Configuración!$B$26,0)</f>
        <v>0</v>
      </c>
      <c r="J410" s="32">
        <f>TablaEgreso[[#This Row],[Egreso Total]]*TablaEgreso[[#This Row],[% de Crédito Fiscal]]</f>
        <v>0</v>
      </c>
      <c r="K410" s="146">
        <v>3100</v>
      </c>
    </row>
    <row r="411" spans="2:11" ht="20.100000000000001" customHeight="1" x14ac:dyDescent="0.25">
      <c r="B411" s="140">
        <v>45646</v>
      </c>
      <c r="C411" s="127" t="str">
        <f>IF(Egresos!$B411="","",TEXT(Egresos!$B411,"MMMM" ))</f>
        <v>diciembre</v>
      </c>
      <c r="D411" s="16" t="s">
        <v>101</v>
      </c>
      <c r="E411" s="17" t="s">
        <v>394</v>
      </c>
      <c r="F411" s="16" t="s">
        <v>118</v>
      </c>
      <c r="G411" s="35">
        <f>TablaEgreso[[#This Row],[Egreso Total]]-TablaEgreso[[#This Row],[Total Crédito Fiscal]]</f>
        <v>250000</v>
      </c>
      <c r="H411" s="16"/>
      <c r="I411" s="31">
        <f>IF(TablaEgreso[[#This Row],[Crédito Fiscal]]="Si",Configuración!$B$26,0)</f>
        <v>0</v>
      </c>
      <c r="J411" s="32">
        <f>TablaEgreso[[#This Row],[Egreso Total]]*TablaEgreso[[#This Row],[% de Crédito Fiscal]]</f>
        <v>0</v>
      </c>
      <c r="K411" s="146">
        <v>250000</v>
      </c>
    </row>
    <row r="412" spans="2:11" ht="20.100000000000001" customHeight="1" x14ac:dyDescent="0.25">
      <c r="B412" s="140">
        <v>45647</v>
      </c>
      <c r="C412" s="127" t="str">
        <f>IF(Egresos!$B412="","",TEXT(Egresos!$B412,"MMMM" ))</f>
        <v>diciembre</v>
      </c>
      <c r="D412" s="16" t="s">
        <v>101</v>
      </c>
      <c r="E412" s="17" t="s">
        <v>394</v>
      </c>
      <c r="F412" s="16" t="s">
        <v>118</v>
      </c>
      <c r="G412" s="35">
        <f>TablaEgreso[[#This Row],[Egreso Total]]-TablaEgreso[[#This Row],[Total Crédito Fiscal]]</f>
        <v>135000</v>
      </c>
      <c r="H412" s="16"/>
      <c r="I412" s="31">
        <f>IF(TablaEgreso[[#This Row],[Crédito Fiscal]]="Si",Configuración!$B$26,0)</f>
        <v>0</v>
      </c>
      <c r="J412" s="32">
        <f>TablaEgreso[[#This Row],[Egreso Total]]*TablaEgreso[[#This Row],[% de Crédito Fiscal]]</f>
        <v>0</v>
      </c>
      <c r="K412" s="146">
        <v>135000</v>
      </c>
    </row>
    <row r="413" spans="2:11" ht="20.100000000000001" customHeight="1" x14ac:dyDescent="0.25">
      <c r="B413" s="140">
        <v>45646</v>
      </c>
      <c r="C413" s="127" t="str">
        <f>IF(Egresos!$B413="","",TEXT(Egresos!$B413,"MMMM" ))</f>
        <v>diciembre</v>
      </c>
      <c r="D413" s="16" t="s">
        <v>113</v>
      </c>
      <c r="E413" s="17" t="s">
        <v>365</v>
      </c>
      <c r="F413" s="16" t="s">
        <v>118</v>
      </c>
      <c r="G413" s="35">
        <f>TablaEgreso[[#This Row],[Egreso Total]]-TablaEgreso[[#This Row],[Total Crédito Fiscal]]</f>
        <v>73400</v>
      </c>
      <c r="H413" s="16"/>
      <c r="I413" s="31">
        <f>IF(TablaEgreso[[#This Row],[Crédito Fiscal]]="Si",Configuración!$B$26,0)</f>
        <v>0</v>
      </c>
      <c r="J413" s="32">
        <f>TablaEgreso[[#This Row],[Egreso Total]]*TablaEgreso[[#This Row],[% de Crédito Fiscal]]</f>
        <v>0</v>
      </c>
      <c r="K413" s="146">
        <v>73400</v>
      </c>
    </row>
    <row r="414" spans="2:11" ht="20.100000000000001" customHeight="1" x14ac:dyDescent="0.25">
      <c r="B414" s="140">
        <v>45646</v>
      </c>
      <c r="C414" s="127" t="str">
        <f>IF(Egresos!$B414="","",TEXT(Egresos!$B414,"MMMM" ))</f>
        <v>diciembre</v>
      </c>
      <c r="D414" s="16" t="s">
        <v>112</v>
      </c>
      <c r="E414" s="17" t="s">
        <v>489</v>
      </c>
      <c r="F414" s="16" t="s">
        <v>118</v>
      </c>
      <c r="G414" s="35">
        <f>TablaEgreso[[#This Row],[Egreso Total]]-TablaEgreso[[#This Row],[Total Crédito Fiscal]]</f>
        <v>35960</v>
      </c>
      <c r="H414" s="16"/>
      <c r="I414" s="31">
        <f>IF(TablaEgreso[[#This Row],[Crédito Fiscal]]="Si",Configuración!$B$26,0)</f>
        <v>0</v>
      </c>
      <c r="J414" s="32">
        <f>TablaEgreso[[#This Row],[Egreso Total]]*TablaEgreso[[#This Row],[% de Crédito Fiscal]]</f>
        <v>0</v>
      </c>
      <c r="K414" s="146">
        <v>35960</v>
      </c>
    </row>
    <row r="415" spans="2:11" ht="20.100000000000001" customHeight="1" x14ac:dyDescent="0.25">
      <c r="B415" s="140">
        <v>45646</v>
      </c>
      <c r="C415" s="127" t="str">
        <f>IF(Egresos!$B415="","",TEXT(Egresos!$B415,"MMMM" ))</f>
        <v>diciembre</v>
      </c>
      <c r="D415" s="16" t="s">
        <v>108</v>
      </c>
      <c r="E415" s="17" t="s">
        <v>490</v>
      </c>
      <c r="F415" s="16" t="s">
        <v>118</v>
      </c>
      <c r="G415" s="35">
        <f>TablaEgreso[[#This Row],[Egreso Total]]-TablaEgreso[[#This Row],[Total Crédito Fiscal]]</f>
        <v>86400</v>
      </c>
      <c r="H415" s="16"/>
      <c r="I415" s="31">
        <f>IF(TablaEgreso[[#This Row],[Crédito Fiscal]]="Si",Configuración!$B$26,0)</f>
        <v>0</v>
      </c>
      <c r="J415" s="32">
        <f>TablaEgreso[[#This Row],[Egreso Total]]*TablaEgreso[[#This Row],[% de Crédito Fiscal]]</f>
        <v>0</v>
      </c>
      <c r="K415" s="146">
        <v>86400</v>
      </c>
    </row>
    <row r="416" spans="2:11" ht="20.100000000000001" customHeight="1" x14ac:dyDescent="0.25">
      <c r="B416" s="140">
        <v>45646</v>
      </c>
      <c r="C416" s="127" t="str">
        <f>IF(Egresos!$B416="","",TEXT(Egresos!$B416,"MMMM" ))</f>
        <v>diciembre</v>
      </c>
      <c r="D416" s="16" t="s">
        <v>113</v>
      </c>
      <c r="E416" s="17" t="s">
        <v>491</v>
      </c>
      <c r="F416" s="16" t="s">
        <v>118</v>
      </c>
      <c r="G416" s="35">
        <f>TablaEgreso[[#This Row],[Egreso Total]]-TablaEgreso[[#This Row],[Total Crédito Fiscal]]</f>
        <v>20520</v>
      </c>
      <c r="H416" s="16"/>
      <c r="I416" s="31">
        <f>IF(TablaEgreso[[#This Row],[Crédito Fiscal]]="Si",Configuración!$B$26,0)</f>
        <v>0</v>
      </c>
      <c r="J416" s="32">
        <f>TablaEgreso[[#This Row],[Egreso Total]]*TablaEgreso[[#This Row],[% de Crédito Fiscal]]</f>
        <v>0</v>
      </c>
      <c r="K416" s="146">
        <v>20520</v>
      </c>
    </row>
    <row r="417" spans="2:11" ht="20.100000000000001" customHeight="1" x14ac:dyDescent="0.25">
      <c r="B417" s="140">
        <v>45646</v>
      </c>
      <c r="C417" s="127" t="str">
        <f>IF(Egresos!$B417="","",TEXT(Egresos!$B417,"MMMM" ))</f>
        <v>diciembre</v>
      </c>
      <c r="D417" s="16" t="s">
        <v>19</v>
      </c>
      <c r="E417" s="17" t="s">
        <v>492</v>
      </c>
      <c r="F417" s="16" t="s">
        <v>118</v>
      </c>
      <c r="G417" s="35">
        <f>TablaEgreso[[#This Row],[Egreso Total]]-TablaEgreso[[#This Row],[Total Crédito Fiscal]]</f>
        <v>100000</v>
      </c>
      <c r="H417" s="16"/>
      <c r="I417" s="31">
        <f>IF(TablaEgreso[[#This Row],[Crédito Fiscal]]="Si",Configuración!$B$26,0)</f>
        <v>0</v>
      </c>
      <c r="J417" s="32">
        <f>TablaEgreso[[#This Row],[Egreso Total]]*TablaEgreso[[#This Row],[% de Crédito Fiscal]]</f>
        <v>0</v>
      </c>
      <c r="K417" s="146">
        <v>100000</v>
      </c>
    </row>
    <row r="418" spans="2:11" ht="20.100000000000001" customHeight="1" x14ac:dyDescent="0.25">
      <c r="B418" s="140">
        <v>45647</v>
      </c>
      <c r="C418" s="127" t="str">
        <f>IF(Egresos!$B418="","",TEXT(Egresos!$B418,"MMMM" ))</f>
        <v>diciembre</v>
      </c>
      <c r="D418" s="16" t="s">
        <v>114</v>
      </c>
      <c r="E418" s="17" t="s">
        <v>368</v>
      </c>
      <c r="F418" s="16" t="s">
        <v>118</v>
      </c>
      <c r="G418" s="35">
        <f>TablaEgreso[[#This Row],[Egreso Total]]-TablaEgreso[[#This Row],[Total Crédito Fiscal]]</f>
        <v>0</v>
      </c>
      <c r="H418" s="16"/>
      <c r="I418" s="31">
        <f>IF(TablaEgreso[[#This Row],[Crédito Fiscal]]="Si",Configuración!$B$26,0)</f>
        <v>0</v>
      </c>
      <c r="J418" s="32">
        <f>TablaEgreso[[#This Row],[Egreso Total]]*TablaEgreso[[#This Row],[% de Crédito Fiscal]]</f>
        <v>0</v>
      </c>
      <c r="K418" s="146">
        <v>0</v>
      </c>
    </row>
    <row r="419" spans="2:11" ht="20.100000000000001" customHeight="1" x14ac:dyDescent="0.25">
      <c r="B419" s="140">
        <v>45647</v>
      </c>
      <c r="C419" s="127" t="str">
        <f>IF(Egresos!$B419="","",TEXT(Egresos!$B419,"MMMM" ))</f>
        <v>diciembre</v>
      </c>
      <c r="D419" s="16" t="s">
        <v>110</v>
      </c>
      <c r="E419" s="17" t="s">
        <v>493</v>
      </c>
      <c r="F419" s="16" t="s">
        <v>118</v>
      </c>
      <c r="G419" s="35">
        <f>TablaEgreso[[#This Row],[Egreso Total]]-TablaEgreso[[#This Row],[Total Crédito Fiscal]]</f>
        <v>1540</v>
      </c>
      <c r="H419" s="16"/>
      <c r="I419" s="31">
        <f>IF(TablaEgreso[[#This Row],[Crédito Fiscal]]="Si",Configuración!$B$26,0)</f>
        <v>0</v>
      </c>
      <c r="J419" s="32">
        <f>TablaEgreso[[#This Row],[Egreso Total]]*TablaEgreso[[#This Row],[% de Crédito Fiscal]]</f>
        <v>0</v>
      </c>
      <c r="K419" s="146">
        <v>1540</v>
      </c>
    </row>
    <row r="420" spans="2:11" ht="20.100000000000001" customHeight="1" x14ac:dyDescent="0.25">
      <c r="B420" s="140">
        <v>45647</v>
      </c>
      <c r="C420" s="127" t="str">
        <f>IF(Egresos!$B420="","",TEXT(Egresos!$B420,"MMMM" ))</f>
        <v>diciembre</v>
      </c>
      <c r="D420" s="16" t="s">
        <v>110</v>
      </c>
      <c r="E420" s="17" t="s">
        <v>494</v>
      </c>
      <c r="F420" s="16" t="s">
        <v>118</v>
      </c>
      <c r="G420" s="35">
        <f>TablaEgreso[[#This Row],[Egreso Total]]-TablaEgreso[[#This Row],[Total Crédito Fiscal]]</f>
        <v>45490</v>
      </c>
      <c r="H420" s="16"/>
      <c r="I420" s="31">
        <f>IF(TablaEgreso[[#This Row],[Crédito Fiscal]]="Si",Configuración!$B$26,0)</f>
        <v>0</v>
      </c>
      <c r="J420" s="32">
        <f>TablaEgreso[[#This Row],[Egreso Total]]*TablaEgreso[[#This Row],[% de Crédito Fiscal]]</f>
        <v>0</v>
      </c>
      <c r="K420" s="146">
        <v>45490</v>
      </c>
    </row>
    <row r="421" spans="2:11" ht="20.100000000000001" customHeight="1" x14ac:dyDescent="0.25">
      <c r="B421" s="140">
        <v>45647</v>
      </c>
      <c r="C421" s="127" t="str">
        <f>IF(Egresos!$B421="","",TEXT(Egresos!$B421,"MMMM" ))</f>
        <v>diciembre</v>
      </c>
      <c r="D421" s="16" t="s">
        <v>112</v>
      </c>
      <c r="E421" s="17" t="s">
        <v>207</v>
      </c>
      <c r="F421" s="16" t="s">
        <v>118</v>
      </c>
      <c r="G421" s="35">
        <f>TablaEgreso[[#This Row],[Egreso Total]]-TablaEgreso[[#This Row],[Total Crédito Fiscal]]</f>
        <v>107500</v>
      </c>
      <c r="H421" s="16"/>
      <c r="I421" s="31">
        <f>IF(TablaEgreso[[#This Row],[Crédito Fiscal]]="Si",Configuración!$B$26,0)</f>
        <v>0</v>
      </c>
      <c r="J421" s="32">
        <f>TablaEgreso[[#This Row],[Egreso Total]]*TablaEgreso[[#This Row],[% de Crédito Fiscal]]</f>
        <v>0</v>
      </c>
      <c r="K421" s="146">
        <v>107500</v>
      </c>
    </row>
    <row r="422" spans="2:11" ht="20.100000000000001" customHeight="1" x14ac:dyDescent="0.25">
      <c r="B422" s="140">
        <v>45647</v>
      </c>
      <c r="C422" s="127" t="str">
        <f>IF(Egresos!$B422="","",TEXT(Egresos!$B422,"MMMM" ))</f>
        <v>diciembre</v>
      </c>
      <c r="D422" s="16" t="s">
        <v>142</v>
      </c>
      <c r="E422" s="17" t="s">
        <v>495</v>
      </c>
      <c r="F422" s="16" t="s">
        <v>118</v>
      </c>
      <c r="G422" s="35">
        <f>TablaEgreso[[#This Row],[Egreso Total]]-TablaEgreso[[#This Row],[Total Crédito Fiscal]]</f>
        <v>17700</v>
      </c>
      <c r="H422" s="16"/>
      <c r="I422" s="31">
        <f>IF(TablaEgreso[[#This Row],[Crédito Fiscal]]="Si",Configuración!$B$26,0)</f>
        <v>0</v>
      </c>
      <c r="J422" s="32">
        <f>TablaEgreso[[#This Row],[Egreso Total]]*TablaEgreso[[#This Row],[% de Crédito Fiscal]]</f>
        <v>0</v>
      </c>
      <c r="K422" s="146">
        <v>17700</v>
      </c>
    </row>
    <row r="423" spans="2:11" ht="20.100000000000001" customHeight="1" x14ac:dyDescent="0.25">
      <c r="B423" s="140">
        <v>45647</v>
      </c>
      <c r="C423" s="127" t="str">
        <f>IF(Egresos!$B423="","",TEXT(Egresos!$B423,"MMMM" ))</f>
        <v>diciembre</v>
      </c>
      <c r="D423" s="16" t="s">
        <v>113</v>
      </c>
      <c r="E423" s="17" t="s">
        <v>496</v>
      </c>
      <c r="F423" s="16" t="s">
        <v>118</v>
      </c>
      <c r="G423" s="35">
        <f>TablaEgreso[[#This Row],[Egreso Total]]-TablaEgreso[[#This Row],[Total Crédito Fiscal]]</f>
        <v>35000</v>
      </c>
      <c r="H423" s="16"/>
      <c r="I423" s="31">
        <f>IF(TablaEgreso[[#This Row],[Crédito Fiscal]]="Si",Configuración!$B$26,0)</f>
        <v>0</v>
      </c>
      <c r="J423" s="32">
        <f>TablaEgreso[[#This Row],[Egreso Total]]*TablaEgreso[[#This Row],[% de Crédito Fiscal]]</f>
        <v>0</v>
      </c>
      <c r="K423" s="146">
        <v>35000</v>
      </c>
    </row>
    <row r="424" spans="2:11" ht="20.100000000000001" customHeight="1" x14ac:dyDescent="0.25">
      <c r="B424" s="140">
        <v>45647</v>
      </c>
      <c r="C424" s="127" t="str">
        <f>IF(Egresos!$B424="","",TEXT(Egresos!$B424,"MMMM" ))</f>
        <v>diciembre</v>
      </c>
      <c r="D424" s="16" t="s">
        <v>139</v>
      </c>
      <c r="E424" s="17" t="s">
        <v>497</v>
      </c>
      <c r="F424" s="16" t="s">
        <v>118</v>
      </c>
      <c r="G424" s="35">
        <f>TablaEgreso[[#This Row],[Egreso Total]]-TablaEgreso[[#This Row],[Total Crédito Fiscal]]</f>
        <v>350000</v>
      </c>
      <c r="H424" s="16"/>
      <c r="I424" s="31">
        <f>IF(TablaEgreso[[#This Row],[Crédito Fiscal]]="Si",Configuración!$B$26,0)</f>
        <v>0</v>
      </c>
      <c r="J424" s="32">
        <f>TablaEgreso[[#This Row],[Egreso Total]]*TablaEgreso[[#This Row],[% de Crédito Fiscal]]</f>
        <v>0</v>
      </c>
      <c r="K424" s="146">
        <v>350000</v>
      </c>
    </row>
    <row r="425" spans="2:11" ht="20.100000000000001" customHeight="1" x14ac:dyDescent="0.25">
      <c r="B425" s="140">
        <v>45647</v>
      </c>
      <c r="C425" s="127" t="str">
        <f>IF(Egresos!$B425="","",TEXT(Egresos!$B425,"MMMM" ))</f>
        <v>diciembre</v>
      </c>
      <c r="D425" s="16" t="s">
        <v>144</v>
      </c>
      <c r="E425" s="17" t="s">
        <v>498</v>
      </c>
      <c r="F425" s="16" t="s">
        <v>118</v>
      </c>
      <c r="G425" s="35">
        <f>TablaEgreso[[#This Row],[Egreso Total]]-TablaEgreso[[#This Row],[Total Crédito Fiscal]]</f>
        <v>350000</v>
      </c>
      <c r="H425" s="16"/>
      <c r="I425" s="31">
        <f>IF(TablaEgreso[[#This Row],[Crédito Fiscal]]="Si",Configuración!$B$26,0)</f>
        <v>0</v>
      </c>
      <c r="J425" s="32">
        <f>TablaEgreso[[#This Row],[Egreso Total]]*TablaEgreso[[#This Row],[% de Crédito Fiscal]]</f>
        <v>0</v>
      </c>
      <c r="K425" s="146">
        <v>350000</v>
      </c>
    </row>
    <row r="426" spans="2:11" ht="20.100000000000001" customHeight="1" x14ac:dyDescent="0.25">
      <c r="B426" s="140">
        <v>45648</v>
      </c>
      <c r="C426" s="127" t="str">
        <f>IF(Egresos!$B426="","",TEXT(Egresos!$B426,"MMMM" ))</f>
        <v>diciembre</v>
      </c>
      <c r="D426" s="16" t="s">
        <v>114</v>
      </c>
      <c r="E426" s="17" t="s">
        <v>499</v>
      </c>
      <c r="F426" s="16" t="s">
        <v>118</v>
      </c>
      <c r="G426" s="35">
        <f>TablaEgreso[[#This Row],[Egreso Total]]-TablaEgreso[[#This Row],[Total Crédito Fiscal]]</f>
        <v>0</v>
      </c>
      <c r="H426" s="16"/>
      <c r="I426" s="31">
        <f>IF(TablaEgreso[[#This Row],[Crédito Fiscal]]="Si",Configuración!$B$26,0)</f>
        <v>0</v>
      </c>
      <c r="J426" s="32">
        <f>TablaEgreso[[#This Row],[Egreso Total]]*TablaEgreso[[#This Row],[% de Crédito Fiscal]]</f>
        <v>0</v>
      </c>
      <c r="K426" s="146">
        <v>0</v>
      </c>
    </row>
    <row r="427" spans="2:11" ht="20.100000000000001" customHeight="1" x14ac:dyDescent="0.25">
      <c r="B427" s="140">
        <v>45646</v>
      </c>
      <c r="C427" s="127" t="str">
        <f>IF(Egresos!$B427="","",TEXT(Egresos!$B427,"MMMM" ))</f>
        <v>diciembre</v>
      </c>
      <c r="D427" s="16" t="s">
        <v>113</v>
      </c>
      <c r="E427" s="17" t="s">
        <v>500</v>
      </c>
      <c r="F427" s="16" t="s">
        <v>119</v>
      </c>
      <c r="G427" s="35">
        <f>TablaEgreso[[#This Row],[Egreso Total]]-TablaEgreso[[#This Row],[Total Crédito Fiscal]]</f>
        <v>32700</v>
      </c>
      <c r="H427" s="16"/>
      <c r="I427" s="31">
        <f>IF(TablaEgreso[[#This Row],[Crédito Fiscal]]="Si",Configuración!$B$26,0)</f>
        <v>0</v>
      </c>
      <c r="J427" s="32">
        <f>TablaEgreso[[#This Row],[Egreso Total]]*TablaEgreso[[#This Row],[% de Crédito Fiscal]]</f>
        <v>0</v>
      </c>
      <c r="K427" s="146">
        <v>32700</v>
      </c>
    </row>
    <row r="428" spans="2:11" ht="20.100000000000001" customHeight="1" x14ac:dyDescent="0.25">
      <c r="B428" s="140">
        <v>45646</v>
      </c>
      <c r="C428" s="127" t="str">
        <f>IF(Egresos!$B428="","",TEXT(Egresos!$B428,"MMMM" ))</f>
        <v>diciembre</v>
      </c>
      <c r="D428" s="16" t="s">
        <v>113</v>
      </c>
      <c r="E428" s="17" t="s">
        <v>501</v>
      </c>
      <c r="F428" s="16" t="s">
        <v>119</v>
      </c>
      <c r="G428" s="35">
        <f>TablaEgreso[[#This Row],[Egreso Total]]-TablaEgreso[[#This Row],[Total Crédito Fiscal]]</f>
        <v>78980</v>
      </c>
      <c r="H428" s="16"/>
      <c r="I428" s="31">
        <f>IF(TablaEgreso[[#This Row],[Crédito Fiscal]]="Si",Configuración!$B$26,0)</f>
        <v>0</v>
      </c>
      <c r="J428" s="32">
        <f>TablaEgreso[[#This Row],[Egreso Total]]*TablaEgreso[[#This Row],[% de Crédito Fiscal]]</f>
        <v>0</v>
      </c>
      <c r="K428" s="146">
        <v>78980</v>
      </c>
    </row>
    <row r="429" spans="2:11" ht="20.100000000000001" customHeight="1" x14ac:dyDescent="0.25">
      <c r="B429" s="140">
        <v>45646</v>
      </c>
      <c r="C429" s="127" t="str">
        <f>IF(Egresos!$B429="","",TEXT(Egresos!$B429,"MMMM" ))</f>
        <v>diciembre</v>
      </c>
      <c r="D429" s="16" t="s">
        <v>108</v>
      </c>
      <c r="E429" s="17" t="s">
        <v>503</v>
      </c>
      <c r="F429" s="16" t="s">
        <v>119</v>
      </c>
      <c r="G429" s="35">
        <f>TablaEgreso[[#This Row],[Egreso Total]]-TablaEgreso[[#This Row],[Total Crédito Fiscal]]</f>
        <v>3060</v>
      </c>
      <c r="H429" s="16"/>
      <c r="I429" s="31">
        <f>IF(TablaEgreso[[#This Row],[Crédito Fiscal]]="Si",Configuración!$B$26,0)</f>
        <v>0</v>
      </c>
      <c r="J429" s="32">
        <f>TablaEgreso[[#This Row],[Egreso Total]]*TablaEgreso[[#This Row],[% de Crédito Fiscal]]</f>
        <v>0</v>
      </c>
      <c r="K429" s="146">
        <f>400+2660</f>
        <v>3060</v>
      </c>
    </row>
    <row r="430" spans="2:11" ht="20.100000000000001" customHeight="1" x14ac:dyDescent="0.25">
      <c r="B430" s="140">
        <v>45646</v>
      </c>
      <c r="C430" s="127" t="str">
        <f>IF(Egresos!$B430="","",TEXT(Egresos!$B430,"MMMM" ))</f>
        <v>diciembre</v>
      </c>
      <c r="D430" s="16" t="s">
        <v>113</v>
      </c>
      <c r="E430" s="17" t="s">
        <v>502</v>
      </c>
      <c r="F430" s="16" t="s">
        <v>119</v>
      </c>
      <c r="G430" s="35">
        <f>TablaEgreso[[#This Row],[Egreso Total]]-TablaEgreso[[#This Row],[Total Crédito Fiscal]]</f>
        <v>35100</v>
      </c>
      <c r="H430" s="16"/>
      <c r="I430" s="31">
        <f>IF(TablaEgreso[[#This Row],[Crédito Fiscal]]="Si",Configuración!$B$26,0)</f>
        <v>0</v>
      </c>
      <c r="J430" s="32">
        <f>TablaEgreso[[#This Row],[Egreso Total]]*TablaEgreso[[#This Row],[% de Crédito Fiscal]]</f>
        <v>0</v>
      </c>
      <c r="K430" s="146">
        <v>35100</v>
      </c>
    </row>
    <row r="431" spans="2:11" ht="20.100000000000001" customHeight="1" x14ac:dyDescent="0.25">
      <c r="B431" s="140">
        <v>45646</v>
      </c>
      <c r="C431" s="127" t="str">
        <f>IF(Egresos!$B431="","",TEXT(Egresos!$B431,"MMMM" ))</f>
        <v>diciembre</v>
      </c>
      <c r="D431" s="16" t="s">
        <v>113</v>
      </c>
      <c r="E431" s="17" t="s">
        <v>168</v>
      </c>
      <c r="F431" s="16" t="s">
        <v>119</v>
      </c>
      <c r="G431" s="35">
        <f>TablaEgreso[[#This Row],[Egreso Total]]-TablaEgreso[[#This Row],[Total Crédito Fiscal]]</f>
        <v>48250</v>
      </c>
      <c r="H431" s="16"/>
      <c r="I431" s="31">
        <f>IF(TablaEgreso[[#This Row],[Crédito Fiscal]]="Si",Configuración!$B$26,0)</f>
        <v>0</v>
      </c>
      <c r="J431" s="32">
        <f>TablaEgreso[[#This Row],[Egreso Total]]*TablaEgreso[[#This Row],[% de Crédito Fiscal]]</f>
        <v>0</v>
      </c>
      <c r="K431" s="146">
        <v>48250</v>
      </c>
    </row>
    <row r="432" spans="2:11" ht="20.100000000000001" customHeight="1" x14ac:dyDescent="0.25">
      <c r="B432" s="140">
        <v>45646</v>
      </c>
      <c r="C432" s="127" t="str">
        <f>IF(Egresos!$B432="","",TEXT(Egresos!$B432,"MMMM" ))</f>
        <v>diciembre</v>
      </c>
      <c r="D432" s="16" t="s">
        <v>114</v>
      </c>
      <c r="E432" s="17" t="s">
        <v>504</v>
      </c>
      <c r="F432" s="16" t="s">
        <v>119</v>
      </c>
      <c r="G432" s="35">
        <f>TablaEgreso[[#This Row],[Egreso Total]]-TablaEgreso[[#This Row],[Total Crédito Fiscal]]</f>
        <v>0</v>
      </c>
      <c r="H432" s="16"/>
      <c r="I432" s="31">
        <f>IF(TablaEgreso[[#This Row],[Crédito Fiscal]]="Si",Configuración!$B$26,0)</f>
        <v>0</v>
      </c>
      <c r="J432" s="32">
        <f>TablaEgreso[[#This Row],[Egreso Total]]*TablaEgreso[[#This Row],[% de Crédito Fiscal]]</f>
        <v>0</v>
      </c>
      <c r="K432" s="146">
        <v>0</v>
      </c>
    </row>
    <row r="433" spans="2:11" ht="20.100000000000001" customHeight="1" x14ac:dyDescent="0.25">
      <c r="B433" s="140">
        <v>45648</v>
      </c>
      <c r="C433" s="127" t="str">
        <f>IF(Egresos!$B433="","",TEXT(Egresos!$B433,"MMMM" ))</f>
        <v>diciembre</v>
      </c>
      <c r="D433" s="16" t="s">
        <v>9</v>
      </c>
      <c r="E433" s="17" t="s">
        <v>320</v>
      </c>
      <c r="F433" s="16" t="s">
        <v>119</v>
      </c>
      <c r="G433" s="35">
        <f>TablaEgreso[[#This Row],[Egreso Total]]-TablaEgreso[[#This Row],[Total Crédito Fiscal]]</f>
        <v>49000</v>
      </c>
      <c r="H433" s="16"/>
      <c r="I433" s="31">
        <f>IF(TablaEgreso[[#This Row],[Crédito Fiscal]]="Si",Configuración!$B$26,0)</f>
        <v>0</v>
      </c>
      <c r="J433" s="32">
        <f>TablaEgreso[[#This Row],[Egreso Total]]*TablaEgreso[[#This Row],[% de Crédito Fiscal]]</f>
        <v>0</v>
      </c>
      <c r="K433" s="146">
        <v>49000</v>
      </c>
    </row>
    <row r="434" spans="2:11" ht="20.100000000000001" customHeight="1" x14ac:dyDescent="0.25">
      <c r="B434" s="140">
        <v>45647</v>
      </c>
      <c r="C434" s="127" t="str">
        <f>IF(Egresos!$B434="","",TEXT(Egresos!$B434,"MMMM" ))</f>
        <v>diciembre</v>
      </c>
      <c r="D434" s="16" t="s">
        <v>109</v>
      </c>
      <c r="E434" s="17" t="s">
        <v>505</v>
      </c>
      <c r="F434" s="16" t="s">
        <v>119</v>
      </c>
      <c r="G434" s="35">
        <f>TablaEgreso[[#This Row],[Egreso Total]]-TablaEgreso[[#This Row],[Total Crédito Fiscal]]</f>
        <v>15000</v>
      </c>
      <c r="H434" s="16"/>
      <c r="I434" s="31">
        <f>IF(TablaEgreso[[#This Row],[Crédito Fiscal]]="Si",Configuración!$B$26,0)</f>
        <v>0</v>
      </c>
      <c r="J434" s="32">
        <f>TablaEgreso[[#This Row],[Egreso Total]]*TablaEgreso[[#This Row],[% de Crédito Fiscal]]</f>
        <v>0</v>
      </c>
      <c r="K434" s="146">
        <v>15000</v>
      </c>
    </row>
    <row r="435" spans="2:11" ht="20.100000000000001" customHeight="1" x14ac:dyDescent="0.25">
      <c r="B435" s="140">
        <v>45646</v>
      </c>
      <c r="C435" s="127" t="str">
        <f>IF(Egresos!$B435="","",TEXT(Egresos!$B435,"MMMM" ))</f>
        <v>diciembre</v>
      </c>
      <c r="D435" s="16" t="s">
        <v>102</v>
      </c>
      <c r="E435" s="17" t="s">
        <v>488</v>
      </c>
      <c r="F435" s="16" t="s">
        <v>120</v>
      </c>
      <c r="G435" s="35">
        <f>TablaEgreso[[#This Row],[Egreso Total]]-TablaEgreso[[#This Row],[Total Crédito Fiscal]]</f>
        <v>3100</v>
      </c>
      <c r="H435" s="16"/>
      <c r="I435" s="31">
        <f>IF(TablaEgreso[[#This Row],[Crédito Fiscal]]="Si",Configuración!$B$26,0)</f>
        <v>0</v>
      </c>
      <c r="J435" s="32">
        <f>TablaEgreso[[#This Row],[Egreso Total]]*TablaEgreso[[#This Row],[% de Crédito Fiscal]]</f>
        <v>0</v>
      </c>
      <c r="K435" s="146">
        <v>3100</v>
      </c>
    </row>
    <row r="436" spans="2:11" ht="20.100000000000001" customHeight="1" x14ac:dyDescent="0.25">
      <c r="B436" s="140">
        <v>45646</v>
      </c>
      <c r="C436" s="127" t="str">
        <f>IF(Egresos!$B436="","",TEXT(Egresos!$B436,"MMMM" ))</f>
        <v>diciembre</v>
      </c>
      <c r="D436" s="16" t="s">
        <v>109</v>
      </c>
      <c r="E436" s="17" t="s">
        <v>506</v>
      </c>
      <c r="F436" s="16" t="s">
        <v>120</v>
      </c>
      <c r="G436" s="35">
        <f>TablaEgreso[[#This Row],[Egreso Total]]-TablaEgreso[[#This Row],[Total Crédito Fiscal]]</f>
        <v>5100</v>
      </c>
      <c r="H436" s="16"/>
      <c r="I436" s="31">
        <f>IF(TablaEgreso[[#This Row],[Crédito Fiscal]]="Si",Configuración!$B$26,0)</f>
        <v>0</v>
      </c>
      <c r="J436" s="32">
        <f>TablaEgreso[[#This Row],[Egreso Total]]*TablaEgreso[[#This Row],[% de Crédito Fiscal]]</f>
        <v>0</v>
      </c>
      <c r="K436" s="146">
        <v>5100</v>
      </c>
    </row>
    <row r="437" spans="2:11" ht="20.100000000000001" customHeight="1" x14ac:dyDescent="0.25">
      <c r="B437" s="140">
        <v>45646</v>
      </c>
      <c r="C437" s="127" t="str">
        <f>IF(Egresos!$B437="","",TEXT(Egresos!$B437,"MMMM" ))</f>
        <v>diciembre</v>
      </c>
      <c r="D437" s="16" t="s">
        <v>113</v>
      </c>
      <c r="E437" s="17" t="s">
        <v>172</v>
      </c>
      <c r="F437" s="16" t="s">
        <v>120</v>
      </c>
      <c r="G437" s="35">
        <f>TablaEgreso[[#This Row],[Egreso Total]]-TablaEgreso[[#This Row],[Total Crédito Fiscal]]</f>
        <v>5000</v>
      </c>
      <c r="H437" s="16"/>
      <c r="I437" s="31">
        <f>IF(TablaEgreso[[#This Row],[Crédito Fiscal]]="Si",Configuración!$B$26,0)</f>
        <v>0</v>
      </c>
      <c r="J437" s="32">
        <f>TablaEgreso[[#This Row],[Egreso Total]]*TablaEgreso[[#This Row],[% de Crédito Fiscal]]</f>
        <v>0</v>
      </c>
      <c r="K437" s="146">
        <v>5000</v>
      </c>
    </row>
    <row r="438" spans="2:11" ht="20.100000000000001" customHeight="1" x14ac:dyDescent="0.25">
      <c r="B438" s="140">
        <v>45646</v>
      </c>
      <c r="C438" s="127" t="str">
        <f>IF(Egresos!$B438="","",TEXT(Egresos!$B438,"MMMM" ))</f>
        <v>diciembre</v>
      </c>
      <c r="D438" s="16" t="s">
        <v>114</v>
      </c>
      <c r="E438" s="17" t="s">
        <v>507</v>
      </c>
      <c r="F438" s="16" t="s">
        <v>120</v>
      </c>
      <c r="G438" s="35">
        <f>TablaEgreso[[#This Row],[Egreso Total]]-TablaEgreso[[#This Row],[Total Crédito Fiscal]]</f>
        <v>0</v>
      </c>
      <c r="H438" s="16"/>
      <c r="I438" s="31">
        <f>IF(TablaEgreso[[#This Row],[Crédito Fiscal]]="Si",Configuración!$B$26,0)</f>
        <v>0</v>
      </c>
      <c r="J438" s="32">
        <f>TablaEgreso[[#This Row],[Egreso Total]]*TablaEgreso[[#This Row],[% de Crédito Fiscal]]</f>
        <v>0</v>
      </c>
      <c r="K438" s="146">
        <v>0</v>
      </c>
    </row>
    <row r="439" spans="2:11" ht="20.100000000000001" customHeight="1" x14ac:dyDescent="0.25">
      <c r="B439" s="140">
        <v>45647</v>
      </c>
      <c r="C439" s="127" t="str">
        <f>IF(Egresos!$B439="","",TEXT(Egresos!$B439,"MMMM" ))</f>
        <v>diciembre</v>
      </c>
      <c r="D439" s="16" t="s">
        <v>101</v>
      </c>
      <c r="E439" s="17" t="s">
        <v>375</v>
      </c>
      <c r="F439" s="16" t="s">
        <v>120</v>
      </c>
      <c r="G439" s="35">
        <f>TablaEgreso[[#This Row],[Egreso Total]]-TablaEgreso[[#This Row],[Total Crédito Fiscal]]</f>
        <v>90269.47</v>
      </c>
      <c r="H439" s="16"/>
      <c r="I439" s="31">
        <f>IF(TablaEgreso[[#This Row],[Crédito Fiscal]]="Si",Configuración!$B$26,0)</f>
        <v>0</v>
      </c>
      <c r="J439" s="32">
        <f>TablaEgreso[[#This Row],[Egreso Total]]*TablaEgreso[[#This Row],[% de Crédito Fiscal]]</f>
        <v>0</v>
      </c>
      <c r="K439" s="146">
        <v>90269.47</v>
      </c>
    </row>
    <row r="440" spans="2:11" ht="20.100000000000001" customHeight="1" x14ac:dyDescent="0.25">
      <c r="B440" s="140">
        <v>45647</v>
      </c>
      <c r="C440" s="127" t="str">
        <f>IF(Egresos!$B440="","",TEXT(Egresos!$B440,"MMMM" ))</f>
        <v>diciembre</v>
      </c>
      <c r="D440" s="16" t="s">
        <v>145</v>
      </c>
      <c r="E440" s="17" t="s">
        <v>508</v>
      </c>
      <c r="F440" s="16" t="s">
        <v>120</v>
      </c>
      <c r="G440" s="35">
        <f>TablaEgreso[[#This Row],[Egreso Total]]-TablaEgreso[[#This Row],[Total Crédito Fiscal]]</f>
        <v>34999.990000000005</v>
      </c>
      <c r="H440" s="16"/>
      <c r="I440" s="31">
        <f>IF(TablaEgreso[[#This Row],[Crédito Fiscal]]="Si",Configuración!$B$26,0)</f>
        <v>0</v>
      </c>
      <c r="J440" s="32">
        <f>TablaEgreso[[#This Row],[Egreso Total]]*TablaEgreso[[#This Row],[% de Crédito Fiscal]]</f>
        <v>0</v>
      </c>
      <c r="K440" s="146">
        <f>5000+29999.99</f>
        <v>34999.990000000005</v>
      </c>
    </row>
    <row r="441" spans="2:11" ht="20.100000000000001" customHeight="1" x14ac:dyDescent="0.25">
      <c r="B441" s="140">
        <v>45647</v>
      </c>
      <c r="C441" s="127" t="str">
        <f>IF(Egresos!$B441="","",TEXT(Egresos!$B441,"MMMM" ))</f>
        <v>diciembre</v>
      </c>
      <c r="D441" s="16" t="s">
        <v>113</v>
      </c>
      <c r="E441" s="17" t="s">
        <v>172</v>
      </c>
      <c r="F441" s="16" t="s">
        <v>120</v>
      </c>
      <c r="G441" s="35">
        <f>TablaEgreso[[#This Row],[Egreso Total]]-TablaEgreso[[#This Row],[Total Crédito Fiscal]]</f>
        <v>6000</v>
      </c>
      <c r="H441" s="16"/>
      <c r="I441" s="31">
        <f>IF(TablaEgreso[[#This Row],[Crédito Fiscal]]="Si",Configuración!$B$26,0)</f>
        <v>0</v>
      </c>
      <c r="J441" s="32">
        <f>TablaEgreso[[#This Row],[Egreso Total]]*TablaEgreso[[#This Row],[% de Crédito Fiscal]]</f>
        <v>0</v>
      </c>
      <c r="K441" s="146">
        <v>6000</v>
      </c>
    </row>
    <row r="442" spans="2:11" ht="20.100000000000001" customHeight="1" x14ac:dyDescent="0.25">
      <c r="B442" s="140">
        <v>45648</v>
      </c>
      <c r="C442" s="127" t="str">
        <f>IF(Egresos!$B442="","",TEXT(Egresos!$B442,"MMMM" ))</f>
        <v>diciembre</v>
      </c>
      <c r="D442" s="16" t="s">
        <v>114</v>
      </c>
      <c r="E442" s="17" t="s">
        <v>509</v>
      </c>
      <c r="F442" s="16" t="s">
        <v>120</v>
      </c>
      <c r="G442" s="35">
        <f>TablaEgreso[[#This Row],[Egreso Total]]-TablaEgreso[[#This Row],[Total Crédito Fiscal]]</f>
        <v>0</v>
      </c>
      <c r="H442" s="16"/>
      <c r="I442" s="31">
        <f>IF(TablaEgreso[[#This Row],[Crédito Fiscal]]="Si",Configuración!$B$26,0)</f>
        <v>0</v>
      </c>
      <c r="J442" s="32">
        <f>TablaEgreso[[#This Row],[Egreso Total]]*TablaEgreso[[#This Row],[% de Crédito Fiscal]]</f>
        <v>0</v>
      </c>
      <c r="K442" s="146">
        <v>0</v>
      </c>
    </row>
    <row r="443" spans="2:11" ht="20.100000000000001" customHeight="1" x14ac:dyDescent="0.25">
      <c r="B443" s="140">
        <v>45646</v>
      </c>
      <c r="C443" s="127" t="str">
        <f>IF(Egresos!$B443="","",TEXT(Egresos!$B443,"MMMM" ))</f>
        <v>diciembre</v>
      </c>
      <c r="D443" s="16" t="s">
        <v>146</v>
      </c>
      <c r="E443" s="17" t="s">
        <v>510</v>
      </c>
      <c r="F443" s="16" t="s">
        <v>13</v>
      </c>
      <c r="G443" s="35">
        <f>TablaEgreso[[#This Row],[Egreso Total]]-TablaEgreso[[#This Row],[Total Crédito Fiscal]]</f>
        <v>1489500</v>
      </c>
      <c r="H443" s="16"/>
      <c r="I443" s="31">
        <f>IF(TablaEgreso[[#This Row],[Crédito Fiscal]]="Si",Configuración!$B$26,0)</f>
        <v>0</v>
      </c>
      <c r="J443" s="32">
        <f>TablaEgreso[[#This Row],[Egreso Total]]*TablaEgreso[[#This Row],[% de Crédito Fiscal]]</f>
        <v>0</v>
      </c>
      <c r="K443" s="146">
        <v>1489500</v>
      </c>
    </row>
    <row r="444" spans="2:11" ht="20.100000000000001" customHeight="1" x14ac:dyDescent="0.25">
      <c r="B444" s="140">
        <v>45648</v>
      </c>
      <c r="C444" s="127" t="str">
        <f>IF(Egresos!$B444="","",TEXT(Egresos!$B444,"MMMM" ))</f>
        <v>diciembre</v>
      </c>
      <c r="D444" s="16" t="s">
        <v>146</v>
      </c>
      <c r="E444" s="17" t="s">
        <v>200</v>
      </c>
      <c r="F444" s="16" t="s">
        <v>13</v>
      </c>
      <c r="G444" s="35">
        <f>TablaEgreso[[#This Row],[Egreso Total]]-TablaEgreso[[#This Row],[Total Crédito Fiscal]]</f>
        <v>111120</v>
      </c>
      <c r="H444" s="16"/>
      <c r="I444" s="31">
        <f>IF(TablaEgreso[[#This Row],[Crédito Fiscal]]="Si",Configuración!$B$26,0)</f>
        <v>0</v>
      </c>
      <c r="J444" s="32">
        <f>TablaEgreso[[#This Row],[Egreso Total]]*TablaEgreso[[#This Row],[% de Crédito Fiscal]]</f>
        <v>0</v>
      </c>
      <c r="K444" s="146">
        <v>111120</v>
      </c>
    </row>
    <row r="445" spans="2:11" ht="20.100000000000001" customHeight="1" x14ac:dyDescent="0.25">
      <c r="B445" s="140">
        <v>45647</v>
      </c>
      <c r="C445" s="127" t="str">
        <f>IF(Egresos!$B445="","",TEXT(Egresos!$B445,"MMMM" ))</f>
        <v>diciembre</v>
      </c>
      <c r="D445" s="16" t="s">
        <v>8</v>
      </c>
      <c r="E445" s="17" t="s">
        <v>135</v>
      </c>
      <c r="F445" s="16" t="s">
        <v>118</v>
      </c>
      <c r="G445" s="35">
        <f>TablaEgreso[[#This Row],[Egreso Total]]-TablaEgreso[[#This Row],[Total Crédito Fiscal]]</f>
        <v>390000</v>
      </c>
      <c r="H445" s="16"/>
      <c r="I445" s="31">
        <f>IF(TablaEgreso[[#This Row],[Crédito Fiscal]]="Si",Configuración!$B$26,0)</f>
        <v>0</v>
      </c>
      <c r="J445" s="32">
        <f>TablaEgreso[[#This Row],[Egreso Total]]*TablaEgreso[[#This Row],[% de Crédito Fiscal]]</f>
        <v>0</v>
      </c>
      <c r="K445" s="146">
        <v>390000</v>
      </c>
    </row>
    <row r="446" spans="2:11" ht="20.100000000000001" customHeight="1" x14ac:dyDescent="0.25">
      <c r="B446" s="140">
        <v>45646</v>
      </c>
      <c r="C446" s="127" t="str">
        <f>IF(Egresos!$B446="","",TEXT(Egresos!$B446,"MMMM" ))</f>
        <v>diciembre</v>
      </c>
      <c r="D446" s="16" t="s">
        <v>8</v>
      </c>
      <c r="E446" s="17" t="s">
        <v>135</v>
      </c>
      <c r="F446" s="16" t="s">
        <v>118</v>
      </c>
      <c r="G446" s="35">
        <f>TablaEgreso[[#This Row],[Egreso Total]]-TablaEgreso[[#This Row],[Total Crédito Fiscal]]</f>
        <v>1995940</v>
      </c>
      <c r="H446" s="16"/>
      <c r="I446" s="31">
        <f>IF(TablaEgreso[[#This Row],[Crédito Fiscal]]="Si",Configuración!$B$26,0)</f>
        <v>0</v>
      </c>
      <c r="J446" s="32">
        <f>TablaEgreso[[#This Row],[Egreso Total]]*TablaEgreso[[#This Row],[% de Crédito Fiscal]]</f>
        <v>0</v>
      </c>
      <c r="K446" s="146">
        <v>1995940</v>
      </c>
    </row>
    <row r="447" spans="2:11" ht="20.100000000000001" customHeight="1" x14ac:dyDescent="0.25">
      <c r="B447" s="140">
        <v>45649</v>
      </c>
      <c r="C447" s="127" t="str">
        <f>IF(Egresos!$B447="","",TEXT(Egresos!$B447,"MMMM" ))</f>
        <v>diciembre</v>
      </c>
      <c r="D447" s="16" t="s">
        <v>137</v>
      </c>
      <c r="E447" s="17" t="s">
        <v>511</v>
      </c>
      <c r="F447" s="16" t="s">
        <v>13</v>
      </c>
      <c r="G447" s="35">
        <f>TablaEgreso[[#This Row],[Egreso Total]]-TablaEgreso[[#This Row],[Total Crédito Fiscal]]</f>
        <v>46666.67</v>
      </c>
      <c r="H447" s="16"/>
      <c r="I447" s="31">
        <f>IF(TablaEgreso[[#This Row],[Crédito Fiscal]]="Si",Configuración!$B$26,0)</f>
        <v>0</v>
      </c>
      <c r="J447" s="32">
        <f>TablaEgreso[[#This Row],[Egreso Total]]*TablaEgreso[[#This Row],[% de Crédito Fiscal]]</f>
        <v>0</v>
      </c>
      <c r="K447" s="146">
        <v>46666.67</v>
      </c>
    </row>
    <row r="448" spans="2:11" ht="20.100000000000001" customHeight="1" x14ac:dyDescent="0.25">
      <c r="B448" s="140">
        <v>45649</v>
      </c>
      <c r="C448" s="127" t="str">
        <f>IF(Egresos!$B448="","",TEXT(Egresos!$B448,"MMMM" ))</f>
        <v>diciembre</v>
      </c>
      <c r="D448" s="16" t="s">
        <v>137</v>
      </c>
      <c r="E448" s="17" t="s">
        <v>512</v>
      </c>
      <c r="F448" s="16" t="s">
        <v>13</v>
      </c>
      <c r="G448" s="35">
        <f>TablaEgreso[[#This Row],[Egreso Total]]-TablaEgreso[[#This Row],[Total Crédito Fiscal]]</f>
        <v>46666.67</v>
      </c>
      <c r="H448" s="16"/>
      <c r="I448" s="31">
        <f>IF(TablaEgreso[[#This Row],[Crédito Fiscal]]="Si",Configuración!$B$26,0)</f>
        <v>0</v>
      </c>
      <c r="J448" s="32">
        <f>TablaEgreso[[#This Row],[Egreso Total]]*TablaEgreso[[#This Row],[% de Crédito Fiscal]]</f>
        <v>0</v>
      </c>
      <c r="K448" s="146">
        <v>46666.67</v>
      </c>
    </row>
    <row r="449" spans="2:11" ht="20.100000000000001" customHeight="1" x14ac:dyDescent="0.25">
      <c r="B449" s="140">
        <v>45649</v>
      </c>
      <c r="C449" s="127" t="str">
        <f>IF(Egresos!$B449="","",TEXT(Egresos!$B449,"MMMM" ))</f>
        <v>diciembre</v>
      </c>
      <c r="D449" s="16" t="s">
        <v>137</v>
      </c>
      <c r="E449" s="17" t="s">
        <v>513</v>
      </c>
      <c r="F449" s="16" t="s">
        <v>13</v>
      </c>
      <c r="G449" s="35">
        <f>TablaEgreso[[#This Row],[Egreso Total]]-TablaEgreso[[#This Row],[Total Crédito Fiscal]]</f>
        <v>46666.67</v>
      </c>
      <c r="H449" s="16"/>
      <c r="I449" s="31">
        <f>IF(TablaEgreso[[#This Row],[Crédito Fiscal]]="Si",Configuración!$B$26,0)</f>
        <v>0</v>
      </c>
      <c r="J449" s="32">
        <f>TablaEgreso[[#This Row],[Egreso Total]]*TablaEgreso[[#This Row],[% de Crédito Fiscal]]</f>
        <v>0</v>
      </c>
      <c r="K449" s="146">
        <v>46666.67</v>
      </c>
    </row>
    <row r="450" spans="2:11" ht="20.100000000000001" customHeight="1" x14ac:dyDescent="0.25">
      <c r="B450" s="140">
        <v>45649</v>
      </c>
      <c r="C450" s="127" t="str">
        <f>IF(Egresos!$B450="","",TEXT(Egresos!$B450,"MMMM" ))</f>
        <v>diciembre</v>
      </c>
      <c r="D450" s="16" t="s">
        <v>137</v>
      </c>
      <c r="E450" s="17" t="s">
        <v>514</v>
      </c>
      <c r="F450" s="16" t="s">
        <v>13</v>
      </c>
      <c r="G450" s="35">
        <f>TablaEgreso[[#This Row],[Egreso Total]]-TablaEgreso[[#This Row],[Total Crédito Fiscal]]</f>
        <v>46666.67</v>
      </c>
      <c r="H450" s="16"/>
      <c r="I450" s="31">
        <f>IF(TablaEgreso[[#This Row],[Crédito Fiscal]]="Si",Configuración!$B$26,0)</f>
        <v>0</v>
      </c>
      <c r="J450" s="32">
        <f>TablaEgreso[[#This Row],[Egreso Total]]*TablaEgreso[[#This Row],[% de Crédito Fiscal]]</f>
        <v>0</v>
      </c>
      <c r="K450" s="146">
        <v>46666.67</v>
      </c>
    </row>
    <row r="451" spans="2:11" ht="20.100000000000001" customHeight="1" x14ac:dyDescent="0.25">
      <c r="B451" s="140">
        <v>45649</v>
      </c>
      <c r="C451" s="127" t="str">
        <f>IF(Egresos!$B451="","",TEXT(Egresos!$B451,"MMMM" ))</f>
        <v>diciembre</v>
      </c>
      <c r="D451" s="16" t="s">
        <v>137</v>
      </c>
      <c r="E451" s="17" t="s">
        <v>515</v>
      </c>
      <c r="F451" s="16" t="s">
        <v>13</v>
      </c>
      <c r="G451" s="35">
        <f>TablaEgreso[[#This Row],[Egreso Total]]-TablaEgreso[[#This Row],[Total Crédito Fiscal]]</f>
        <v>46666.67</v>
      </c>
      <c r="H451" s="16"/>
      <c r="I451" s="31">
        <f>IF(TablaEgreso[[#This Row],[Crédito Fiscal]]="Si",Configuración!$B$26,0)</f>
        <v>0</v>
      </c>
      <c r="J451" s="32">
        <f>TablaEgreso[[#This Row],[Egreso Total]]*TablaEgreso[[#This Row],[% de Crédito Fiscal]]</f>
        <v>0</v>
      </c>
      <c r="K451" s="146">
        <v>46666.67</v>
      </c>
    </row>
    <row r="452" spans="2:11" ht="20.100000000000001" customHeight="1" x14ac:dyDescent="0.25">
      <c r="B452" s="140">
        <v>45649</v>
      </c>
      <c r="C452" s="127" t="str">
        <f>IF(Egresos!$B452="","",TEXT(Egresos!$B452,"MMMM" ))</f>
        <v>diciembre</v>
      </c>
      <c r="D452" s="16" t="s">
        <v>137</v>
      </c>
      <c r="E452" s="17" t="s">
        <v>516</v>
      </c>
      <c r="F452" s="16" t="s">
        <v>13</v>
      </c>
      <c r="G452" s="35">
        <f>TablaEgreso[[#This Row],[Egreso Total]]-TablaEgreso[[#This Row],[Total Crédito Fiscal]]</f>
        <v>46666.67</v>
      </c>
      <c r="H452" s="16"/>
      <c r="I452" s="31">
        <f>IF(TablaEgreso[[#This Row],[Crédito Fiscal]]="Si",Configuración!$B$26,0)</f>
        <v>0</v>
      </c>
      <c r="J452" s="32">
        <f>TablaEgreso[[#This Row],[Egreso Total]]*TablaEgreso[[#This Row],[% de Crédito Fiscal]]</f>
        <v>0</v>
      </c>
      <c r="K452" s="146">
        <v>46666.67</v>
      </c>
    </row>
    <row r="453" spans="2:11" ht="20.100000000000001" customHeight="1" x14ac:dyDescent="0.25">
      <c r="B453" s="140">
        <v>45649</v>
      </c>
      <c r="C453" s="127" t="str">
        <f>IF(Egresos!$B453="","",TEXT(Egresos!$B453,"MMMM" ))</f>
        <v>diciembre</v>
      </c>
      <c r="D453" s="16" t="s">
        <v>142</v>
      </c>
      <c r="E453" s="17" t="s">
        <v>517</v>
      </c>
      <c r="F453" s="16" t="s">
        <v>118</v>
      </c>
      <c r="G453" s="35">
        <f>TablaEgreso[[#This Row],[Egreso Total]]-TablaEgreso[[#This Row],[Total Crédito Fiscal]]</f>
        <v>6000</v>
      </c>
      <c r="H453" s="16"/>
      <c r="I453" s="31">
        <f>IF(TablaEgreso[[#This Row],[Crédito Fiscal]]="Si",Configuración!$B$26,0)</f>
        <v>0</v>
      </c>
      <c r="J453" s="32">
        <f>TablaEgreso[[#This Row],[Egreso Total]]*TablaEgreso[[#This Row],[% de Crédito Fiscal]]</f>
        <v>0</v>
      </c>
      <c r="K453" s="146">
        <v>6000</v>
      </c>
    </row>
    <row r="454" spans="2:11" ht="20.100000000000001" customHeight="1" x14ac:dyDescent="0.25">
      <c r="B454" s="140">
        <v>45649</v>
      </c>
      <c r="C454" s="127" t="str">
        <f>IF(Egresos!$B454="","",TEXT(Egresos!$B454,"MMMM" ))</f>
        <v>diciembre</v>
      </c>
      <c r="D454" s="16" t="s">
        <v>108</v>
      </c>
      <c r="E454" s="17" t="s">
        <v>518</v>
      </c>
      <c r="F454" s="16" t="s">
        <v>118</v>
      </c>
      <c r="G454" s="35">
        <f>TablaEgreso[[#This Row],[Egreso Total]]-TablaEgreso[[#This Row],[Total Crédito Fiscal]]</f>
        <v>142500</v>
      </c>
      <c r="H454" s="16"/>
      <c r="I454" s="31">
        <f>IF(TablaEgreso[[#This Row],[Crédito Fiscal]]="Si",Configuración!$B$26,0)</f>
        <v>0</v>
      </c>
      <c r="J454" s="32">
        <f>TablaEgreso[[#This Row],[Egreso Total]]*TablaEgreso[[#This Row],[% de Crédito Fiscal]]</f>
        <v>0</v>
      </c>
      <c r="K454" s="146">
        <v>142500</v>
      </c>
    </row>
    <row r="455" spans="2:11" ht="20.100000000000001" customHeight="1" x14ac:dyDescent="0.25">
      <c r="B455" s="140">
        <v>45649</v>
      </c>
      <c r="C455" s="127" t="str">
        <f>IF(Egresos!$B455="","",TEXT(Egresos!$B455,"MMMM" ))</f>
        <v>diciembre</v>
      </c>
      <c r="D455" s="16" t="s">
        <v>113</v>
      </c>
      <c r="E455" s="17" t="s">
        <v>364</v>
      </c>
      <c r="F455" s="16" t="s">
        <v>118</v>
      </c>
      <c r="G455" s="35">
        <f>TablaEgreso[[#This Row],[Egreso Total]]-TablaEgreso[[#This Row],[Total Crédito Fiscal]]</f>
        <v>70000</v>
      </c>
      <c r="H455" s="16"/>
      <c r="I455" s="31">
        <f>IF(TablaEgreso[[#This Row],[Crédito Fiscal]]="Si",Configuración!$B$26,0)</f>
        <v>0</v>
      </c>
      <c r="J455" s="32">
        <f>TablaEgreso[[#This Row],[Egreso Total]]*TablaEgreso[[#This Row],[% de Crédito Fiscal]]</f>
        <v>0</v>
      </c>
      <c r="K455" s="146">
        <v>70000</v>
      </c>
    </row>
    <row r="456" spans="2:11" ht="20.100000000000001" customHeight="1" x14ac:dyDescent="0.25">
      <c r="B456" s="140">
        <v>45649</v>
      </c>
      <c r="C456" s="127" t="str">
        <f>IF(Egresos!$B456="","",TEXT(Egresos!$B456,"MMMM" ))</f>
        <v>diciembre</v>
      </c>
      <c r="D456" s="16" t="s">
        <v>101</v>
      </c>
      <c r="E456" s="17" t="s">
        <v>519</v>
      </c>
      <c r="F456" s="16" t="s">
        <v>118</v>
      </c>
      <c r="G456" s="35">
        <f>TablaEgreso[[#This Row],[Egreso Total]]-TablaEgreso[[#This Row],[Total Crédito Fiscal]]</f>
        <v>252600</v>
      </c>
      <c r="H456" s="16"/>
      <c r="I456" s="31">
        <f>IF(TablaEgreso[[#This Row],[Crédito Fiscal]]="Si",Configuración!$B$26,0)</f>
        <v>0</v>
      </c>
      <c r="J456" s="32">
        <f>TablaEgreso[[#This Row],[Egreso Total]]*TablaEgreso[[#This Row],[% de Crédito Fiscal]]</f>
        <v>0</v>
      </c>
      <c r="K456" s="146">
        <v>252600</v>
      </c>
    </row>
    <row r="457" spans="2:11" ht="20.100000000000001" customHeight="1" x14ac:dyDescent="0.25">
      <c r="B457" s="140">
        <v>45649</v>
      </c>
      <c r="C457" s="127" t="str">
        <f>IF(Egresos!$B457="","",TEXT(Egresos!$B457,"MMMM" ))</f>
        <v>diciembre</v>
      </c>
      <c r="D457" s="16" t="s">
        <v>101</v>
      </c>
      <c r="E457" s="17" t="s">
        <v>520</v>
      </c>
      <c r="F457" s="16" t="s">
        <v>118</v>
      </c>
      <c r="G457" s="35">
        <f>TablaEgreso[[#This Row],[Egreso Total]]-TablaEgreso[[#This Row],[Total Crédito Fiscal]]</f>
        <v>145000</v>
      </c>
      <c r="H457" s="16"/>
      <c r="I457" s="31">
        <f>IF(TablaEgreso[[#This Row],[Crédito Fiscal]]="Si",Configuración!$B$26,0)</f>
        <v>0</v>
      </c>
      <c r="J457" s="32">
        <f>TablaEgreso[[#This Row],[Egreso Total]]*TablaEgreso[[#This Row],[% de Crédito Fiscal]]</f>
        <v>0</v>
      </c>
      <c r="K457" s="146">
        <v>145000</v>
      </c>
    </row>
    <row r="458" spans="2:11" ht="20.100000000000001" customHeight="1" x14ac:dyDescent="0.25">
      <c r="B458" s="140">
        <v>45649</v>
      </c>
      <c r="C458" s="127" t="str">
        <f>IF(Egresos!$B458="","",TEXT(Egresos!$B458,"MMMM" ))</f>
        <v>diciembre</v>
      </c>
      <c r="D458" s="16" t="s">
        <v>103</v>
      </c>
      <c r="E458" s="17" t="s">
        <v>521</v>
      </c>
      <c r="F458" s="16" t="s">
        <v>119</v>
      </c>
      <c r="G458" s="35">
        <f>TablaEgreso[[#This Row],[Egreso Total]]-TablaEgreso[[#This Row],[Total Crédito Fiscal]]</f>
        <v>13880</v>
      </c>
      <c r="H458" s="16"/>
      <c r="I458" s="31">
        <f>IF(TablaEgreso[[#This Row],[Crédito Fiscal]]="Si",Configuración!$B$26,0)</f>
        <v>0</v>
      </c>
      <c r="J458" s="32">
        <f>TablaEgreso[[#This Row],[Egreso Total]]*TablaEgreso[[#This Row],[% de Crédito Fiscal]]</f>
        <v>0</v>
      </c>
      <c r="K458" s="146">
        <v>13880</v>
      </c>
    </row>
    <row r="459" spans="2:11" ht="20.100000000000001" customHeight="1" x14ac:dyDescent="0.25">
      <c r="B459" s="140">
        <v>45649</v>
      </c>
      <c r="C459" s="127" t="str">
        <f>IF(Egresos!$B459="","",TEXT(Egresos!$B459,"MMMM" ))</f>
        <v>diciembre</v>
      </c>
      <c r="D459" s="16" t="s">
        <v>112</v>
      </c>
      <c r="E459" s="17" t="s">
        <v>522</v>
      </c>
      <c r="F459" s="16" t="s">
        <v>119</v>
      </c>
      <c r="G459" s="35">
        <f>TablaEgreso[[#This Row],[Egreso Total]]-TablaEgreso[[#This Row],[Total Crédito Fiscal]]</f>
        <v>4600</v>
      </c>
      <c r="H459" s="16"/>
      <c r="I459" s="31">
        <f>IF(TablaEgreso[[#This Row],[Crédito Fiscal]]="Si",Configuración!$B$26,0)</f>
        <v>0</v>
      </c>
      <c r="J459" s="32">
        <f>TablaEgreso[[#This Row],[Egreso Total]]*TablaEgreso[[#This Row],[% de Crédito Fiscal]]</f>
        <v>0</v>
      </c>
      <c r="K459" s="146">
        <v>4600</v>
      </c>
    </row>
    <row r="460" spans="2:11" ht="20.100000000000001" customHeight="1" x14ac:dyDescent="0.25">
      <c r="B460" s="140">
        <v>45649</v>
      </c>
      <c r="C460" s="127" t="str">
        <f>IF(Egresos!$B460="","",TEXT(Egresos!$B460,"MMMM" ))</f>
        <v>diciembre</v>
      </c>
      <c r="D460" s="16" t="s">
        <v>140</v>
      </c>
      <c r="E460" s="17" t="s">
        <v>523</v>
      </c>
      <c r="F460" s="16" t="s">
        <v>119</v>
      </c>
      <c r="G460" s="35">
        <f>TablaEgreso[[#This Row],[Egreso Total]]-TablaEgreso[[#This Row],[Total Crédito Fiscal]]</f>
        <v>55000</v>
      </c>
      <c r="H460" s="16"/>
      <c r="I460" s="31">
        <f>IF(TablaEgreso[[#This Row],[Crédito Fiscal]]="Si",Configuración!$B$26,0)</f>
        <v>0</v>
      </c>
      <c r="J460" s="32">
        <f>TablaEgreso[[#This Row],[Egreso Total]]*TablaEgreso[[#This Row],[% de Crédito Fiscal]]</f>
        <v>0</v>
      </c>
      <c r="K460" s="146">
        <v>55000</v>
      </c>
    </row>
    <row r="461" spans="2:11" ht="20.100000000000001" customHeight="1" x14ac:dyDescent="0.25">
      <c r="B461" s="140">
        <v>45649</v>
      </c>
      <c r="C461" s="127" t="str">
        <f>IF(Egresos!$B461="","",TEXT(Egresos!$B461,"MMMM" ))</f>
        <v>diciembre</v>
      </c>
      <c r="D461" s="16" t="s">
        <v>114</v>
      </c>
      <c r="E461" s="17" t="s">
        <v>524</v>
      </c>
      <c r="F461" s="16" t="s">
        <v>119</v>
      </c>
      <c r="G461" s="35">
        <f>TablaEgreso[[#This Row],[Egreso Total]]-TablaEgreso[[#This Row],[Total Crédito Fiscal]]</f>
        <v>0</v>
      </c>
      <c r="H461" s="16"/>
      <c r="I461" s="31">
        <f>IF(TablaEgreso[[#This Row],[Crédito Fiscal]]="Si",Configuración!$B$26,0)</f>
        <v>0</v>
      </c>
      <c r="J461" s="32">
        <f>TablaEgreso[[#This Row],[Egreso Total]]*TablaEgreso[[#This Row],[% de Crédito Fiscal]]</f>
        <v>0</v>
      </c>
      <c r="K461" s="146">
        <v>0</v>
      </c>
    </row>
    <row r="462" spans="2:11" ht="20.100000000000001" customHeight="1" x14ac:dyDescent="0.25">
      <c r="B462" s="140">
        <v>45649</v>
      </c>
      <c r="C462" s="127" t="str">
        <f>IF(Egresos!$B462="","",TEXT(Egresos!$B462,"MMMM" ))</f>
        <v>diciembre</v>
      </c>
      <c r="D462" s="16" t="s">
        <v>113</v>
      </c>
      <c r="E462" s="17" t="s">
        <v>172</v>
      </c>
      <c r="F462" s="16" t="s">
        <v>120</v>
      </c>
      <c r="G462" s="35">
        <f>TablaEgreso[[#This Row],[Egreso Total]]-TablaEgreso[[#This Row],[Total Crédito Fiscal]]</f>
        <v>6500</v>
      </c>
      <c r="H462" s="16"/>
      <c r="I462" s="31">
        <f>IF(TablaEgreso[[#This Row],[Crédito Fiscal]]="Si",Configuración!$B$26,0)</f>
        <v>0</v>
      </c>
      <c r="J462" s="32">
        <f>TablaEgreso[[#This Row],[Egreso Total]]*TablaEgreso[[#This Row],[% de Crédito Fiscal]]</f>
        <v>0</v>
      </c>
      <c r="K462" s="146">
        <v>6500</v>
      </c>
    </row>
    <row r="463" spans="2:11" ht="20.100000000000001" customHeight="1" x14ac:dyDescent="0.25">
      <c r="B463" s="140">
        <v>45649</v>
      </c>
      <c r="C463" s="127" t="str">
        <f>IF(Egresos!$B463="","",TEXT(Egresos!$B463,"MMMM" ))</f>
        <v>diciembre</v>
      </c>
      <c r="D463" s="16" t="s">
        <v>109</v>
      </c>
      <c r="E463" s="17" t="s">
        <v>525</v>
      </c>
      <c r="F463" s="16" t="s">
        <v>120</v>
      </c>
      <c r="G463" s="35">
        <f>TablaEgreso[[#This Row],[Egreso Total]]-TablaEgreso[[#This Row],[Total Crédito Fiscal]]</f>
        <v>300</v>
      </c>
      <c r="H463" s="16"/>
      <c r="I463" s="31">
        <f>IF(TablaEgreso[[#This Row],[Crédito Fiscal]]="Si",Configuración!$B$26,0)</f>
        <v>0</v>
      </c>
      <c r="J463" s="32">
        <f>TablaEgreso[[#This Row],[Egreso Total]]*TablaEgreso[[#This Row],[% de Crédito Fiscal]]</f>
        <v>0</v>
      </c>
      <c r="K463" s="146">
        <v>300</v>
      </c>
    </row>
    <row r="464" spans="2:11" ht="20.100000000000001" customHeight="1" x14ac:dyDescent="0.25">
      <c r="B464" s="140">
        <v>45649</v>
      </c>
      <c r="C464" s="127" t="str">
        <f>IF(Egresos!$B464="","",TEXT(Egresos!$B464,"MMMM" ))</f>
        <v>diciembre</v>
      </c>
      <c r="D464" s="16" t="s">
        <v>113</v>
      </c>
      <c r="E464" s="17" t="s">
        <v>526</v>
      </c>
      <c r="F464" s="16" t="s">
        <v>120</v>
      </c>
      <c r="G464" s="35">
        <f>TablaEgreso[[#This Row],[Egreso Total]]-TablaEgreso[[#This Row],[Total Crédito Fiscal]]</f>
        <v>2700</v>
      </c>
      <c r="H464" s="16"/>
      <c r="I464" s="31">
        <f>IF(TablaEgreso[[#This Row],[Crédito Fiscal]]="Si",Configuración!$B$26,0)</f>
        <v>0</v>
      </c>
      <c r="J464" s="32">
        <f>TablaEgreso[[#This Row],[Egreso Total]]*TablaEgreso[[#This Row],[% de Crédito Fiscal]]</f>
        <v>0</v>
      </c>
      <c r="K464" s="146">
        <v>2700</v>
      </c>
    </row>
    <row r="465" spans="2:11" ht="20.100000000000001" customHeight="1" x14ac:dyDescent="0.25">
      <c r="B465" s="140">
        <v>45649</v>
      </c>
      <c r="C465" s="127" t="str">
        <f>IF(Egresos!$B465="","",TEXT(Egresos!$B465,"MMMM" ))</f>
        <v>diciembre</v>
      </c>
      <c r="D465" s="16" t="s">
        <v>114</v>
      </c>
      <c r="E465" s="17" t="s">
        <v>527</v>
      </c>
      <c r="F465" s="16" t="s">
        <v>120</v>
      </c>
      <c r="G465" s="35">
        <f>TablaEgreso[[#This Row],[Egreso Total]]-TablaEgreso[[#This Row],[Total Crédito Fiscal]]</f>
        <v>0</v>
      </c>
      <c r="H465" s="16"/>
      <c r="I465" s="31">
        <f>IF(TablaEgreso[[#This Row],[Crédito Fiscal]]="Si",Configuración!$B$26,0)</f>
        <v>0</v>
      </c>
      <c r="J465" s="32">
        <f>TablaEgreso[[#This Row],[Egreso Total]]*TablaEgreso[[#This Row],[% de Crédito Fiscal]]</f>
        <v>0</v>
      </c>
      <c r="K465" s="146">
        <v>0</v>
      </c>
    </row>
    <row r="466" spans="2:11" ht="20.100000000000001" customHeight="1" x14ac:dyDescent="0.25">
      <c r="B466" s="140">
        <v>45649</v>
      </c>
      <c r="C466" s="127" t="str">
        <f>IF(Egresos!$B466="","",TEXT(Egresos!$B466,"MMMM" ))</f>
        <v>diciembre</v>
      </c>
      <c r="D466" s="16" t="s">
        <v>113</v>
      </c>
      <c r="E466" s="17" t="s">
        <v>443</v>
      </c>
      <c r="F466" s="16" t="s">
        <v>13</v>
      </c>
      <c r="G466" s="35">
        <f>TablaEgreso[[#This Row],[Egreso Total]]-TablaEgreso[[#This Row],[Total Crédito Fiscal]]</f>
        <v>36686</v>
      </c>
      <c r="H466" s="16"/>
      <c r="I466" s="31">
        <f>IF(TablaEgreso[[#This Row],[Crédito Fiscal]]="Si",Configuración!$B$26,0)</f>
        <v>0</v>
      </c>
      <c r="J466" s="32">
        <f>TablaEgreso[[#This Row],[Egreso Total]]*TablaEgreso[[#This Row],[% de Crédito Fiscal]]</f>
        <v>0</v>
      </c>
      <c r="K466" s="146">
        <v>36686</v>
      </c>
    </row>
    <row r="467" spans="2:11" ht="20.100000000000001" customHeight="1" x14ac:dyDescent="0.25">
      <c r="B467" s="140">
        <v>45645</v>
      </c>
      <c r="C467" s="127" t="str">
        <f>IF(Egresos!$B467="","",TEXT(Egresos!$B467,"MMMM" ))</f>
        <v>diciembre</v>
      </c>
      <c r="D467" s="16" t="s">
        <v>142</v>
      </c>
      <c r="E467" s="17" t="s">
        <v>528</v>
      </c>
      <c r="F467" s="16" t="s">
        <v>13</v>
      </c>
      <c r="G467" s="35">
        <f>TablaEgreso[[#This Row],[Egreso Total]]-TablaEgreso[[#This Row],[Total Crédito Fiscal]]</f>
        <v>197252.8</v>
      </c>
      <c r="H467" s="16"/>
      <c r="I467" s="31">
        <f>IF(TablaEgreso[[#This Row],[Crédito Fiscal]]="Si",Configuración!$B$26,0)</f>
        <v>0</v>
      </c>
      <c r="J467" s="32">
        <f>TablaEgreso[[#This Row],[Egreso Total]]*TablaEgreso[[#This Row],[% de Crédito Fiscal]]</f>
        <v>0</v>
      </c>
      <c r="K467" s="146">
        <v>197252.8</v>
      </c>
    </row>
    <row r="468" spans="2:11" ht="20.100000000000001" customHeight="1" x14ac:dyDescent="0.25">
      <c r="B468" s="140">
        <v>45645</v>
      </c>
      <c r="C468" s="127" t="str">
        <f>IF(Egresos!$B468="","",TEXT(Egresos!$B468,"MMMM" ))</f>
        <v>diciembre</v>
      </c>
      <c r="D468" s="16" t="s">
        <v>100</v>
      </c>
      <c r="E468" s="17" t="s">
        <v>529</v>
      </c>
      <c r="F468" s="16" t="s">
        <v>121</v>
      </c>
      <c r="G468" s="35">
        <f>TablaEgreso[[#This Row],[Egreso Total]]-TablaEgreso[[#This Row],[Total Crédito Fiscal]]</f>
        <v>0</v>
      </c>
      <c r="H468" s="16"/>
      <c r="I468" s="31">
        <f>IF(TablaEgreso[[#This Row],[Crédito Fiscal]]="Si",Configuración!$B$26,0)</f>
        <v>0</v>
      </c>
      <c r="J468" s="32">
        <f>TablaEgreso[[#This Row],[Egreso Total]]*TablaEgreso[[#This Row],[% de Crédito Fiscal]]</f>
        <v>0</v>
      </c>
      <c r="K468" s="146">
        <v>0</v>
      </c>
    </row>
    <row r="469" spans="2:11" ht="20.100000000000001" customHeight="1" x14ac:dyDescent="0.25">
      <c r="B469" s="140">
        <v>45645</v>
      </c>
      <c r="C469" s="127" t="str">
        <f>IF(Egresos!$B469="","",TEXT(Egresos!$B469,"MMMM" ))</f>
        <v>diciembre</v>
      </c>
      <c r="D469" s="16" t="s">
        <v>113</v>
      </c>
      <c r="E469" s="17" t="s">
        <v>530</v>
      </c>
      <c r="F469" s="16" t="s">
        <v>13</v>
      </c>
      <c r="G469" s="35">
        <f>TablaEgreso[[#This Row],[Egreso Total]]-TablaEgreso[[#This Row],[Total Crédito Fiscal]]</f>
        <v>28822.95</v>
      </c>
      <c r="H469" s="16"/>
      <c r="I469" s="31">
        <f>IF(TablaEgreso[[#This Row],[Crédito Fiscal]]="Si",Configuración!$B$26,0)</f>
        <v>0</v>
      </c>
      <c r="J469" s="32">
        <f>TablaEgreso[[#This Row],[Egreso Total]]*TablaEgreso[[#This Row],[% de Crédito Fiscal]]</f>
        <v>0</v>
      </c>
      <c r="K469" s="146">
        <v>28822.95</v>
      </c>
    </row>
    <row r="470" spans="2:11" ht="20.100000000000001" customHeight="1" x14ac:dyDescent="0.25">
      <c r="B470" s="140">
        <v>45649</v>
      </c>
      <c r="C470" s="127" t="str">
        <f>IF(Egresos!$B470="","",TEXT(Egresos!$B470,"MMMM" ))</f>
        <v>diciembre</v>
      </c>
      <c r="D470" s="16" t="s">
        <v>113</v>
      </c>
      <c r="E470" s="17" t="s">
        <v>531</v>
      </c>
      <c r="F470" s="16" t="s">
        <v>13</v>
      </c>
      <c r="G470" s="35">
        <f>TablaEgreso[[#This Row],[Egreso Total]]-TablaEgreso[[#This Row],[Total Crédito Fiscal]]</f>
        <v>32650.65</v>
      </c>
      <c r="H470" s="16"/>
      <c r="I470" s="31">
        <f>IF(TablaEgreso[[#This Row],[Crédito Fiscal]]="Si",Configuración!$B$26,0)</f>
        <v>0</v>
      </c>
      <c r="J470" s="32">
        <f>TablaEgreso[[#This Row],[Egreso Total]]*TablaEgreso[[#This Row],[% de Crédito Fiscal]]</f>
        <v>0</v>
      </c>
      <c r="K470" s="146">
        <v>32650.65</v>
      </c>
    </row>
    <row r="471" spans="2:11" ht="20.100000000000001" customHeight="1" x14ac:dyDescent="0.25">
      <c r="B471" s="140">
        <v>45649</v>
      </c>
      <c r="C471" s="127" t="str">
        <f>IF(Egresos!$B471="","",TEXT(Egresos!$B471,"MMMM" ))</f>
        <v>diciembre</v>
      </c>
      <c r="D471" s="16" t="s">
        <v>113</v>
      </c>
      <c r="E471" s="17" t="s">
        <v>532</v>
      </c>
      <c r="F471" s="16" t="s">
        <v>13</v>
      </c>
      <c r="G471" s="35">
        <f>TablaEgreso[[#This Row],[Egreso Total]]-TablaEgreso[[#This Row],[Total Crédito Fiscal]]</f>
        <v>52000</v>
      </c>
      <c r="H471" s="16"/>
      <c r="I471" s="31">
        <f>IF(TablaEgreso[[#This Row],[Crédito Fiscal]]="Si",Configuración!$B$26,0)</f>
        <v>0</v>
      </c>
      <c r="J471" s="32">
        <f>TablaEgreso[[#This Row],[Egreso Total]]*TablaEgreso[[#This Row],[% de Crédito Fiscal]]</f>
        <v>0</v>
      </c>
      <c r="K471" s="146">
        <v>52000</v>
      </c>
    </row>
    <row r="472" spans="2:11" ht="20.100000000000001" customHeight="1" x14ac:dyDescent="0.25">
      <c r="B472" s="140">
        <v>45649</v>
      </c>
      <c r="C472" s="127" t="str">
        <f>IF(Egresos!$B472="","",TEXT(Egresos!$B472,"MMMM" ))</f>
        <v>diciembre</v>
      </c>
      <c r="D472" s="16" t="s">
        <v>113</v>
      </c>
      <c r="E472" s="17" t="s">
        <v>533</v>
      </c>
      <c r="F472" s="16" t="s">
        <v>121</v>
      </c>
      <c r="G472" s="35">
        <f>TablaEgreso[[#This Row],[Egreso Total]]-TablaEgreso[[#This Row],[Total Crédito Fiscal]]</f>
        <v>0</v>
      </c>
      <c r="H472" s="16"/>
      <c r="I472" s="31">
        <f>IF(TablaEgreso[[#This Row],[Crédito Fiscal]]="Si",Configuración!$B$26,0)</f>
        <v>0</v>
      </c>
      <c r="J472" s="32">
        <f>TablaEgreso[[#This Row],[Egreso Total]]*TablaEgreso[[#This Row],[% de Crédito Fiscal]]</f>
        <v>0</v>
      </c>
      <c r="K472" s="146">
        <v>0</v>
      </c>
    </row>
    <row r="473" spans="2:11" ht="20.100000000000001" customHeight="1" x14ac:dyDescent="0.25">
      <c r="B473" s="140">
        <v>45646</v>
      </c>
      <c r="C473" s="127" t="str">
        <f>IF(Egresos!$B473="","",TEXT(Egresos!$B473,"MMMM" ))</f>
        <v>diciembre</v>
      </c>
      <c r="D473" s="16" t="s">
        <v>146</v>
      </c>
      <c r="E473" s="17" t="s">
        <v>200</v>
      </c>
      <c r="F473" s="16" t="s">
        <v>13</v>
      </c>
      <c r="G473" s="35">
        <f>TablaEgreso[[#This Row],[Egreso Total]]-TablaEgreso[[#This Row],[Total Crédito Fiscal]]</f>
        <v>145845</v>
      </c>
      <c r="H473" s="16"/>
      <c r="I473" s="31">
        <f>IF(TablaEgreso[[#This Row],[Crédito Fiscal]]="Si",Configuración!$B$26,0)</f>
        <v>0</v>
      </c>
      <c r="J473" s="32">
        <f>TablaEgreso[[#This Row],[Egreso Total]]*TablaEgreso[[#This Row],[% de Crédito Fiscal]]</f>
        <v>0</v>
      </c>
      <c r="K473" s="146">
        <v>145845</v>
      </c>
    </row>
    <row r="474" spans="2:11" ht="20.100000000000001" customHeight="1" x14ac:dyDescent="0.25">
      <c r="B474" s="140">
        <v>45645</v>
      </c>
      <c r="C474" s="127" t="str">
        <f>IF(Egresos!$B474="","",TEXT(Egresos!$B474,"MMMM" ))</f>
        <v>diciembre</v>
      </c>
      <c r="D474" s="16" t="s">
        <v>146</v>
      </c>
      <c r="E474" s="17" t="s">
        <v>200</v>
      </c>
      <c r="F474" s="16" t="s">
        <v>13</v>
      </c>
      <c r="G474" s="35">
        <f>TablaEgreso[[#This Row],[Egreso Total]]-TablaEgreso[[#This Row],[Total Crédito Fiscal]]</f>
        <v>111120</v>
      </c>
      <c r="H474" s="16"/>
      <c r="I474" s="31">
        <f>IF(TablaEgreso[[#This Row],[Crédito Fiscal]]="Si",Configuración!$B$26,0)</f>
        <v>0</v>
      </c>
      <c r="J474" s="32">
        <f>TablaEgreso[[#This Row],[Egreso Total]]*TablaEgreso[[#This Row],[% de Crédito Fiscal]]</f>
        <v>0</v>
      </c>
      <c r="K474" s="146">
        <v>111120</v>
      </c>
    </row>
    <row r="475" spans="2:11" ht="20.100000000000001" customHeight="1" x14ac:dyDescent="0.25">
      <c r="B475" s="140">
        <v>45645</v>
      </c>
      <c r="C475" s="127" t="str">
        <f>IF(Egresos!$B475="","",TEXT(Egresos!$B475,"MMMM" ))</f>
        <v>diciembre</v>
      </c>
      <c r="D475" s="16" t="s">
        <v>146</v>
      </c>
      <c r="E475" s="17" t="s">
        <v>534</v>
      </c>
      <c r="F475" s="16" t="s">
        <v>13</v>
      </c>
      <c r="G475" s="35">
        <f>TablaEgreso[[#This Row],[Egreso Total]]-TablaEgreso[[#This Row],[Total Crédito Fiscal]]</f>
        <v>1143657.43</v>
      </c>
      <c r="H475" s="16"/>
      <c r="I475" s="31">
        <f>IF(TablaEgreso[[#This Row],[Crédito Fiscal]]="Si",Configuración!$B$26,0)</f>
        <v>0</v>
      </c>
      <c r="J475" s="32">
        <f>TablaEgreso[[#This Row],[Egreso Total]]*TablaEgreso[[#This Row],[% de Crédito Fiscal]]</f>
        <v>0</v>
      </c>
      <c r="K475" s="146">
        <v>1143657.43</v>
      </c>
    </row>
    <row r="476" spans="2:11" ht="20.100000000000001" customHeight="1" x14ac:dyDescent="0.25">
      <c r="B476" s="140">
        <v>45646</v>
      </c>
      <c r="C476" s="127" t="str">
        <f>IF(Egresos!$B476="","",TEXT(Egresos!$B476,"MMMM" ))</f>
        <v>diciembre</v>
      </c>
      <c r="D476" s="16" t="s">
        <v>146</v>
      </c>
      <c r="E476" s="17" t="s">
        <v>200</v>
      </c>
      <c r="F476" s="16" t="s">
        <v>13</v>
      </c>
      <c r="G476" s="35">
        <f>TablaEgreso[[#This Row],[Egreso Total]]-TablaEgreso[[#This Row],[Total Crédito Fiscal]]</f>
        <v>111120</v>
      </c>
      <c r="H476" s="16"/>
      <c r="I476" s="31">
        <f>IF(TablaEgreso[[#This Row],[Crédito Fiscal]]="Si",Configuración!$B$26,0)</f>
        <v>0</v>
      </c>
      <c r="J476" s="32">
        <f>TablaEgreso[[#This Row],[Egreso Total]]*TablaEgreso[[#This Row],[% de Crédito Fiscal]]</f>
        <v>0</v>
      </c>
      <c r="K476" s="146">
        <v>111120</v>
      </c>
    </row>
    <row r="477" spans="2:11" ht="20.100000000000001" customHeight="1" x14ac:dyDescent="0.25">
      <c r="B477" s="140">
        <v>45645</v>
      </c>
      <c r="C477" s="127" t="str">
        <f>IF(Egresos!$B477="","",TEXT(Egresos!$B477,"MMMM" ))</f>
        <v>diciembre</v>
      </c>
      <c r="D477" s="16" t="s">
        <v>110</v>
      </c>
      <c r="E477" s="17" t="s">
        <v>181</v>
      </c>
      <c r="F477" s="16" t="s">
        <v>13</v>
      </c>
      <c r="G477" s="35">
        <f>TablaEgreso[[#This Row],[Egreso Total]]-TablaEgreso[[#This Row],[Total Crédito Fiscal]]</f>
        <v>117194.69</v>
      </c>
      <c r="H477" s="16"/>
      <c r="I477" s="31">
        <f>IF(TablaEgreso[[#This Row],[Crédito Fiscal]]="Si",Configuración!$B$26,0)</f>
        <v>0</v>
      </c>
      <c r="J477" s="32">
        <f>TablaEgreso[[#This Row],[Egreso Total]]*TablaEgreso[[#This Row],[% de Crédito Fiscal]]</f>
        <v>0</v>
      </c>
      <c r="K477" s="146">
        <v>117194.69</v>
      </c>
    </row>
    <row r="478" spans="2:11" ht="20.100000000000001" customHeight="1" x14ac:dyDescent="0.25">
      <c r="B478" s="140">
        <v>45649</v>
      </c>
      <c r="C478" s="127" t="str">
        <f>IF(Egresos!$B478="","",TEXT(Egresos!$B478,"MMMM" ))</f>
        <v>diciembre</v>
      </c>
      <c r="D478" s="16" t="s">
        <v>113</v>
      </c>
      <c r="E478" s="17" t="s">
        <v>535</v>
      </c>
      <c r="F478" s="16" t="s">
        <v>121</v>
      </c>
      <c r="G478" s="35">
        <f>TablaEgreso[[#This Row],[Egreso Total]]-TablaEgreso[[#This Row],[Total Crédito Fiscal]]</f>
        <v>0</v>
      </c>
      <c r="H478" s="16"/>
      <c r="I478" s="31">
        <f>IF(TablaEgreso[[#This Row],[Crédito Fiscal]]="Si",Configuración!$B$26,0)</f>
        <v>0</v>
      </c>
      <c r="J478" s="32">
        <f>TablaEgreso[[#This Row],[Egreso Total]]*TablaEgreso[[#This Row],[% de Crédito Fiscal]]</f>
        <v>0</v>
      </c>
      <c r="K478" s="146">
        <v>0</v>
      </c>
    </row>
    <row r="479" spans="2:11" ht="20.100000000000001" customHeight="1" x14ac:dyDescent="0.25">
      <c r="B479" s="140">
        <v>45649</v>
      </c>
      <c r="C479" s="127" t="str">
        <f>IF(Egresos!$B479="","",TEXT(Egresos!$B479,"MMMM" ))</f>
        <v>diciembre</v>
      </c>
      <c r="D479" s="16" t="s">
        <v>146</v>
      </c>
      <c r="E479" s="17" t="s">
        <v>336</v>
      </c>
      <c r="F479" s="16" t="s">
        <v>13</v>
      </c>
      <c r="G479" s="35">
        <f>TablaEgreso[[#This Row],[Egreso Total]]-TablaEgreso[[#This Row],[Total Crédito Fiscal]]</f>
        <v>1806017.92</v>
      </c>
      <c r="H479" s="16"/>
      <c r="I479" s="31">
        <f>IF(TablaEgreso[[#This Row],[Crédito Fiscal]]="Si",Configuración!$B$26,0)</f>
        <v>0</v>
      </c>
      <c r="J479" s="32">
        <f>TablaEgreso[[#This Row],[Egreso Total]]*TablaEgreso[[#This Row],[% de Crédito Fiscal]]</f>
        <v>0</v>
      </c>
      <c r="K479" s="146">
        <v>1806017.92</v>
      </c>
    </row>
    <row r="480" spans="2:11" ht="20.100000000000001" customHeight="1" x14ac:dyDescent="0.25">
      <c r="B480" s="140">
        <v>45649</v>
      </c>
      <c r="C480" s="127" t="str">
        <f>IF(Egresos!$B480="","",TEXT(Egresos!$B480,"MMMM" ))</f>
        <v>diciembre</v>
      </c>
      <c r="D480" s="16" t="s">
        <v>107</v>
      </c>
      <c r="E480" s="17" t="s">
        <v>352</v>
      </c>
      <c r="F480" s="16" t="s">
        <v>13</v>
      </c>
      <c r="G480" s="35">
        <f>TablaEgreso[[#This Row],[Egreso Total]]-TablaEgreso[[#This Row],[Total Crédito Fiscal]]</f>
        <v>540000</v>
      </c>
      <c r="H480" s="16"/>
      <c r="I480" s="31">
        <f>IF(TablaEgreso[[#This Row],[Crédito Fiscal]]="Si",Configuración!$B$26,0)</f>
        <v>0</v>
      </c>
      <c r="J480" s="32">
        <f>TablaEgreso[[#This Row],[Egreso Total]]*TablaEgreso[[#This Row],[% de Crédito Fiscal]]</f>
        <v>0</v>
      </c>
      <c r="K480" s="146">
        <v>540000</v>
      </c>
    </row>
    <row r="481" spans="2:11" ht="20.100000000000001" customHeight="1" x14ac:dyDescent="0.25">
      <c r="B481" s="140">
        <v>45650</v>
      </c>
      <c r="C481" s="127" t="str">
        <f>IF(Egresos!$B481="","",TEXT(Egresos!$B481,"MMMM" ))</f>
        <v>diciembre</v>
      </c>
      <c r="D481" s="16" t="s">
        <v>114</v>
      </c>
      <c r="E481" s="17" t="s">
        <v>536</v>
      </c>
      <c r="F481" s="16" t="s">
        <v>118</v>
      </c>
      <c r="G481" s="35">
        <f>TablaEgreso[[#This Row],[Egreso Total]]-TablaEgreso[[#This Row],[Total Crédito Fiscal]]</f>
        <v>0</v>
      </c>
      <c r="H481" s="16"/>
      <c r="I481" s="31">
        <f>IF(TablaEgreso[[#This Row],[Crédito Fiscal]]="Si",Configuración!$B$26,0)</f>
        <v>0</v>
      </c>
      <c r="J481" s="32">
        <f>TablaEgreso[[#This Row],[Egreso Total]]*TablaEgreso[[#This Row],[% de Crédito Fiscal]]</f>
        <v>0</v>
      </c>
      <c r="K481" s="146">
        <v>0</v>
      </c>
    </row>
    <row r="482" spans="2:11" ht="20.100000000000001" customHeight="1" x14ac:dyDescent="0.25">
      <c r="B482" s="140">
        <v>45650</v>
      </c>
      <c r="C482" s="127" t="str">
        <f>IF(Egresos!$B482="","",TEXT(Egresos!$B482,"MMMM" ))</f>
        <v>diciembre</v>
      </c>
      <c r="D482" s="16" t="s">
        <v>114</v>
      </c>
      <c r="E482" s="17" t="s">
        <v>537</v>
      </c>
      <c r="F482" s="16" t="s">
        <v>119</v>
      </c>
      <c r="G482" s="35">
        <f>TablaEgreso[[#This Row],[Egreso Total]]-TablaEgreso[[#This Row],[Total Crédito Fiscal]]</f>
        <v>0</v>
      </c>
      <c r="H482" s="16"/>
      <c r="I482" s="31">
        <f>IF(TablaEgreso[[#This Row],[Crédito Fiscal]]="Si",Configuración!$B$26,0)</f>
        <v>0</v>
      </c>
      <c r="J482" s="32">
        <f>TablaEgreso[[#This Row],[Egreso Total]]*TablaEgreso[[#This Row],[% de Crédito Fiscal]]</f>
        <v>0</v>
      </c>
      <c r="K482" s="146">
        <v>0</v>
      </c>
    </row>
    <row r="483" spans="2:11" ht="20.100000000000001" customHeight="1" x14ac:dyDescent="0.25">
      <c r="B483" s="140">
        <v>45650</v>
      </c>
      <c r="C483" s="127" t="str">
        <f>IF(Egresos!$B483="","",TEXT(Egresos!$B483,"MMMM" ))</f>
        <v>diciembre</v>
      </c>
      <c r="D483" s="16" t="s">
        <v>113</v>
      </c>
      <c r="E483" s="17" t="s">
        <v>172</v>
      </c>
      <c r="F483" s="16" t="s">
        <v>120</v>
      </c>
      <c r="G483" s="35">
        <f>TablaEgreso[[#This Row],[Egreso Total]]-TablaEgreso[[#This Row],[Total Crédito Fiscal]]</f>
        <v>7500</v>
      </c>
      <c r="H483" s="16"/>
      <c r="I483" s="31">
        <f>IF(TablaEgreso[[#This Row],[Crédito Fiscal]]="Si",Configuración!$B$26,0)</f>
        <v>0</v>
      </c>
      <c r="J483" s="32">
        <f>TablaEgreso[[#This Row],[Egreso Total]]*TablaEgreso[[#This Row],[% de Crédito Fiscal]]</f>
        <v>0</v>
      </c>
      <c r="K483" s="146">
        <v>7500</v>
      </c>
    </row>
    <row r="484" spans="2:11" ht="20.100000000000001" customHeight="1" x14ac:dyDescent="0.25">
      <c r="B484" s="140">
        <v>45650</v>
      </c>
      <c r="C484" s="127" t="str">
        <f>IF(Egresos!$B484="","",TEXT(Egresos!$B484,"MMMM" ))</f>
        <v>diciembre</v>
      </c>
      <c r="D484" s="16" t="s">
        <v>114</v>
      </c>
      <c r="E484" s="17" t="s">
        <v>538</v>
      </c>
      <c r="F484" s="16" t="s">
        <v>120</v>
      </c>
      <c r="G484" s="35">
        <f>TablaEgreso[[#This Row],[Egreso Total]]-TablaEgreso[[#This Row],[Total Crédito Fiscal]]</f>
        <v>0</v>
      </c>
      <c r="H484" s="16"/>
      <c r="I484" s="31">
        <f>IF(TablaEgreso[[#This Row],[Crédito Fiscal]]="Si",Configuración!$B$26,0)</f>
        <v>0</v>
      </c>
      <c r="J484" s="32">
        <f>TablaEgreso[[#This Row],[Egreso Total]]*TablaEgreso[[#This Row],[% de Crédito Fiscal]]</f>
        <v>0</v>
      </c>
      <c r="K484" s="146">
        <v>0</v>
      </c>
    </row>
    <row r="485" spans="2:11" ht="20.100000000000001" customHeight="1" x14ac:dyDescent="0.25">
      <c r="B485" s="140">
        <v>45649</v>
      </c>
      <c r="C485" s="127" t="str">
        <f>IF(Egresos!$B485="","",TEXT(Egresos!$B485,"MMMM" ))</f>
        <v>diciembre</v>
      </c>
      <c r="D485" s="16" t="s">
        <v>146</v>
      </c>
      <c r="E485" s="17" t="s">
        <v>539</v>
      </c>
      <c r="F485" s="16" t="s">
        <v>13</v>
      </c>
      <c r="G485" s="35">
        <f>TablaEgreso[[#This Row],[Egreso Total]]-TablaEgreso[[#This Row],[Total Crédito Fiscal]]</f>
        <v>1317863</v>
      </c>
      <c r="H485" s="16"/>
      <c r="I485" s="31">
        <f>IF(TablaEgreso[[#This Row],[Crédito Fiscal]]="Si",Configuración!$B$26,0)</f>
        <v>0</v>
      </c>
      <c r="J485" s="32">
        <f>TablaEgreso[[#This Row],[Egreso Total]]*TablaEgreso[[#This Row],[% de Crédito Fiscal]]</f>
        <v>0</v>
      </c>
      <c r="K485" s="146">
        <v>1317863</v>
      </c>
    </row>
    <row r="486" spans="2:11" ht="20.100000000000001" customHeight="1" x14ac:dyDescent="0.25">
      <c r="B486" s="140">
        <v>45649</v>
      </c>
      <c r="C486" s="127" t="str">
        <f>IF(Egresos!$B486="","",TEXT(Egresos!$B486,"MMMM" ))</f>
        <v>diciembre</v>
      </c>
      <c r="D486" s="16" t="s">
        <v>146</v>
      </c>
      <c r="E486" s="17" t="s">
        <v>539</v>
      </c>
      <c r="F486" s="16" t="s">
        <v>13</v>
      </c>
      <c r="G486" s="35">
        <f>TablaEgreso[[#This Row],[Egreso Total]]-TablaEgreso[[#This Row],[Total Crédito Fiscal]]</f>
        <v>1160199.5</v>
      </c>
      <c r="H486" s="16"/>
      <c r="I486" s="31">
        <f>IF(TablaEgreso[[#This Row],[Crédito Fiscal]]="Si",Configuración!$B$26,0)</f>
        <v>0</v>
      </c>
      <c r="J486" s="32">
        <f>TablaEgreso[[#This Row],[Egreso Total]]*TablaEgreso[[#This Row],[% de Crédito Fiscal]]</f>
        <v>0</v>
      </c>
      <c r="K486" s="146">
        <v>1160199.5</v>
      </c>
    </row>
    <row r="487" spans="2:11" ht="20.100000000000001" customHeight="1" x14ac:dyDescent="0.25">
      <c r="B487" s="140">
        <v>45649</v>
      </c>
      <c r="C487" s="127" t="str">
        <f>IF(Egresos!$B487="","",TEXT(Egresos!$B487,"MMMM" ))</f>
        <v>diciembre</v>
      </c>
      <c r="D487" s="16" t="s">
        <v>146</v>
      </c>
      <c r="E487" s="17" t="s">
        <v>539</v>
      </c>
      <c r="F487" s="16" t="s">
        <v>13</v>
      </c>
      <c r="G487" s="35">
        <f>TablaEgreso[[#This Row],[Egreso Total]]-TablaEgreso[[#This Row],[Total Crédito Fiscal]]</f>
        <v>27192.5</v>
      </c>
      <c r="H487" s="16"/>
      <c r="I487" s="31">
        <f>IF(TablaEgreso[[#This Row],[Crédito Fiscal]]="Si",Configuración!$B$26,0)</f>
        <v>0</v>
      </c>
      <c r="J487" s="32">
        <f>TablaEgreso[[#This Row],[Egreso Total]]*TablaEgreso[[#This Row],[% de Crédito Fiscal]]</f>
        <v>0</v>
      </c>
      <c r="K487" s="146">
        <v>27192.5</v>
      </c>
    </row>
    <row r="488" spans="2:11" ht="20.100000000000001" customHeight="1" x14ac:dyDescent="0.25">
      <c r="B488" s="140">
        <v>45652</v>
      </c>
      <c r="C488" s="127" t="str">
        <f>IF(Egresos!$B488="","",TEXT(Egresos!$B488,"MMMM" ))</f>
        <v>diciembre</v>
      </c>
      <c r="D488" s="16" t="s">
        <v>113</v>
      </c>
      <c r="E488" s="17" t="s">
        <v>540</v>
      </c>
      <c r="F488" s="16" t="s">
        <v>13</v>
      </c>
      <c r="G488" s="35">
        <f>TablaEgreso[[#This Row],[Egreso Total]]-TablaEgreso[[#This Row],[Total Crédito Fiscal]]</f>
        <v>36699.15</v>
      </c>
      <c r="H488" s="16"/>
      <c r="I488" s="31">
        <f>IF(TablaEgreso[[#This Row],[Crédito Fiscal]]="Si",Configuración!$B$26,0)</f>
        <v>0</v>
      </c>
      <c r="J488" s="32">
        <f>TablaEgreso[[#This Row],[Egreso Total]]*TablaEgreso[[#This Row],[% de Crédito Fiscal]]</f>
        <v>0</v>
      </c>
      <c r="K488" s="146">
        <v>36699.15</v>
      </c>
    </row>
    <row r="489" spans="2:11" ht="20.100000000000001" customHeight="1" x14ac:dyDescent="0.25">
      <c r="B489" s="140">
        <v>45652</v>
      </c>
      <c r="C489" s="127" t="str">
        <f>IF(Egresos!$B489="","",TEXT(Egresos!$B489,"MMMM" ))</f>
        <v>diciembre</v>
      </c>
      <c r="D489" s="16" t="s">
        <v>113</v>
      </c>
      <c r="E489" s="17" t="s">
        <v>440</v>
      </c>
      <c r="F489" s="16" t="s">
        <v>13</v>
      </c>
      <c r="G489" s="35">
        <f>TablaEgreso[[#This Row],[Egreso Total]]-TablaEgreso[[#This Row],[Total Crédito Fiscal]]</f>
        <v>66824.41</v>
      </c>
      <c r="H489" s="16"/>
      <c r="I489" s="31">
        <f>IF(TablaEgreso[[#This Row],[Crédito Fiscal]]="Si",Configuración!$B$26,0)</f>
        <v>0</v>
      </c>
      <c r="J489" s="32">
        <f>TablaEgreso[[#This Row],[Egreso Total]]*TablaEgreso[[#This Row],[% de Crédito Fiscal]]</f>
        <v>0</v>
      </c>
      <c r="K489" s="146">
        <v>66824.41</v>
      </c>
    </row>
    <row r="490" spans="2:11" ht="20.100000000000001" customHeight="1" x14ac:dyDescent="0.25">
      <c r="B490" s="140">
        <v>45652</v>
      </c>
      <c r="C490" s="127" t="str">
        <f>IF(Egresos!$B490="","",TEXT(Egresos!$B490,"MMMM" ))</f>
        <v>diciembre</v>
      </c>
      <c r="D490" s="16" t="s">
        <v>113</v>
      </c>
      <c r="E490" s="17" t="s">
        <v>441</v>
      </c>
      <c r="F490" s="16" t="s">
        <v>13</v>
      </c>
      <c r="G490" s="35">
        <f>TablaEgreso[[#This Row],[Egreso Total]]-TablaEgreso[[#This Row],[Total Crédito Fiscal]]</f>
        <v>276561.68</v>
      </c>
      <c r="H490" s="16"/>
      <c r="I490" s="31">
        <f>IF(TablaEgreso[[#This Row],[Crédito Fiscal]]="Si",Configuración!$B$26,0)</f>
        <v>0</v>
      </c>
      <c r="J490" s="32">
        <f>TablaEgreso[[#This Row],[Egreso Total]]*TablaEgreso[[#This Row],[% de Crédito Fiscal]]</f>
        <v>0</v>
      </c>
      <c r="K490" s="146">
        <v>276561.68</v>
      </c>
    </row>
    <row r="491" spans="2:11" ht="20.100000000000001" customHeight="1" x14ac:dyDescent="0.25">
      <c r="B491" s="140">
        <v>45652</v>
      </c>
      <c r="C491" s="127" t="str">
        <f>IF(Egresos!$B491="","",TEXT(Egresos!$B491,"MMMM" ))</f>
        <v>diciembre</v>
      </c>
      <c r="D491" s="16" t="s">
        <v>146</v>
      </c>
      <c r="E491" s="17" t="s">
        <v>541</v>
      </c>
      <c r="F491" s="16" t="s">
        <v>13</v>
      </c>
      <c r="G491" s="35">
        <f>TablaEgreso[[#This Row],[Egreso Total]]-TablaEgreso[[#This Row],[Total Crédito Fiscal]]</f>
        <v>111120</v>
      </c>
      <c r="H491" s="16"/>
      <c r="I491" s="31">
        <f>IF(TablaEgreso[[#This Row],[Crédito Fiscal]]="Si",Configuración!$B$26,0)</f>
        <v>0</v>
      </c>
      <c r="J491" s="32">
        <f>TablaEgreso[[#This Row],[Egreso Total]]*TablaEgreso[[#This Row],[% de Crédito Fiscal]]</f>
        <v>0</v>
      </c>
      <c r="K491" s="146">
        <v>111120</v>
      </c>
    </row>
    <row r="492" spans="2:11" ht="20.100000000000001" customHeight="1" x14ac:dyDescent="0.25">
      <c r="B492" s="140">
        <v>45649</v>
      </c>
      <c r="C492" s="127" t="str">
        <f>IF(Egresos!$B492="","",TEXT(Egresos!$B492,"MMMM" ))</f>
        <v>diciembre</v>
      </c>
      <c r="D492" s="16" t="s">
        <v>108</v>
      </c>
      <c r="E492" s="17" t="s">
        <v>542</v>
      </c>
      <c r="F492" s="16" t="s">
        <v>13</v>
      </c>
      <c r="G492" s="35">
        <f>TablaEgreso[[#This Row],[Egreso Total]]-TablaEgreso[[#This Row],[Total Crédito Fiscal]]</f>
        <v>104000</v>
      </c>
      <c r="H492" s="16"/>
      <c r="I492" s="31">
        <f>IF(TablaEgreso[[#This Row],[Crédito Fiscal]]="Si",Configuración!$B$26,0)</f>
        <v>0</v>
      </c>
      <c r="J492" s="32">
        <f>TablaEgreso[[#This Row],[Egreso Total]]*TablaEgreso[[#This Row],[% de Crédito Fiscal]]</f>
        <v>0</v>
      </c>
      <c r="K492" s="146">
        <v>104000</v>
      </c>
    </row>
    <row r="493" spans="2:11" ht="20.100000000000001" customHeight="1" x14ac:dyDescent="0.25">
      <c r="B493" s="140">
        <v>45649</v>
      </c>
      <c r="C493" s="127" t="str">
        <f>IF(Egresos!$B493="","",TEXT(Egresos!$B493,"MMMM" ))</f>
        <v>diciembre</v>
      </c>
      <c r="D493" s="16" t="s">
        <v>113</v>
      </c>
      <c r="E493" s="17" t="s">
        <v>543</v>
      </c>
      <c r="F493" s="16" t="s">
        <v>13</v>
      </c>
      <c r="G493" s="35">
        <f>TablaEgreso[[#This Row],[Egreso Total]]-TablaEgreso[[#This Row],[Total Crédito Fiscal]]</f>
        <v>151329.38</v>
      </c>
      <c r="H493" s="16"/>
      <c r="I493" s="31">
        <f>IF(TablaEgreso[[#This Row],[Crédito Fiscal]]="Si",Configuración!$B$26,0)</f>
        <v>0</v>
      </c>
      <c r="J493" s="32">
        <f>TablaEgreso[[#This Row],[Egreso Total]]*TablaEgreso[[#This Row],[% de Crédito Fiscal]]</f>
        <v>0</v>
      </c>
      <c r="K493" s="146">
        <v>151329.38</v>
      </c>
    </row>
    <row r="494" spans="2:11" ht="20.100000000000001" customHeight="1" x14ac:dyDescent="0.25">
      <c r="B494" s="140">
        <v>45649</v>
      </c>
      <c r="C494" s="127" t="str">
        <f>IF(Egresos!$B494="","",TEXT(Egresos!$B494,"MMMM" ))</f>
        <v>diciembre</v>
      </c>
      <c r="D494" s="16" t="s">
        <v>113</v>
      </c>
      <c r="E494" s="17" t="s">
        <v>544</v>
      </c>
      <c r="F494" s="16" t="s">
        <v>13</v>
      </c>
      <c r="G494" s="35">
        <f>TablaEgreso[[#This Row],[Egreso Total]]-TablaEgreso[[#This Row],[Total Crédito Fiscal]]</f>
        <v>52000</v>
      </c>
      <c r="H494" s="16"/>
      <c r="I494" s="31">
        <f>IF(TablaEgreso[[#This Row],[Crédito Fiscal]]="Si",Configuración!$B$26,0)</f>
        <v>0</v>
      </c>
      <c r="J494" s="32">
        <f>TablaEgreso[[#This Row],[Egreso Total]]*TablaEgreso[[#This Row],[% de Crédito Fiscal]]</f>
        <v>0</v>
      </c>
      <c r="K494" s="146">
        <v>52000</v>
      </c>
    </row>
    <row r="495" spans="2:11" ht="20.100000000000001" customHeight="1" x14ac:dyDescent="0.25">
      <c r="B495" s="140">
        <v>45649</v>
      </c>
      <c r="C495" s="127" t="str">
        <f>IF(Egresos!$B495="","",TEXT(Egresos!$B495,"MMMM" ))</f>
        <v>diciembre</v>
      </c>
      <c r="D495" s="16" t="s">
        <v>113</v>
      </c>
      <c r="E495" s="17" t="s">
        <v>545</v>
      </c>
      <c r="F495" s="16" t="s">
        <v>13</v>
      </c>
      <c r="G495" s="35">
        <f>TablaEgreso[[#This Row],[Egreso Total]]-TablaEgreso[[#This Row],[Total Crédito Fiscal]]</f>
        <v>85000</v>
      </c>
      <c r="H495" s="16"/>
      <c r="I495" s="31">
        <f>IF(TablaEgreso[[#This Row],[Crédito Fiscal]]="Si",Configuración!$B$26,0)</f>
        <v>0</v>
      </c>
      <c r="J495" s="32">
        <f>TablaEgreso[[#This Row],[Egreso Total]]*TablaEgreso[[#This Row],[% de Crédito Fiscal]]</f>
        <v>0</v>
      </c>
      <c r="K495" s="146">
        <v>85000</v>
      </c>
    </row>
    <row r="496" spans="2:11" ht="20.100000000000001" customHeight="1" x14ac:dyDescent="0.25">
      <c r="B496" s="140">
        <v>45652</v>
      </c>
      <c r="C496" s="127" t="str">
        <f>IF(Egresos!$B496="","",TEXT(Egresos!$B496,"MMMM" ))</f>
        <v>diciembre</v>
      </c>
      <c r="D496" s="16" t="s">
        <v>142</v>
      </c>
      <c r="E496" s="17" t="s">
        <v>547</v>
      </c>
      <c r="F496" s="16" t="s">
        <v>118</v>
      </c>
      <c r="G496" s="35">
        <f>TablaEgreso[[#This Row],[Egreso Total]]-TablaEgreso[[#This Row],[Total Crédito Fiscal]]</f>
        <v>17500</v>
      </c>
      <c r="H496" s="16"/>
      <c r="I496" s="31">
        <f>IF(TablaEgreso[[#This Row],[Crédito Fiscal]]="Si",Configuración!$B$26,0)</f>
        <v>0</v>
      </c>
      <c r="J496" s="32">
        <f>TablaEgreso[[#This Row],[Egreso Total]]*TablaEgreso[[#This Row],[% de Crédito Fiscal]]</f>
        <v>0</v>
      </c>
      <c r="K496" s="146">
        <v>17500</v>
      </c>
    </row>
    <row r="497" spans="2:11" ht="20.100000000000001" customHeight="1" x14ac:dyDescent="0.25">
      <c r="B497" s="140">
        <v>45652</v>
      </c>
      <c r="C497" s="127" t="str">
        <f>IF(Egresos!$B497="","",TEXT(Egresos!$B497,"MMMM" ))</f>
        <v>diciembre</v>
      </c>
      <c r="D497" s="16" t="s">
        <v>144</v>
      </c>
      <c r="E497" s="17" t="s">
        <v>370</v>
      </c>
      <c r="F497" s="16" t="s">
        <v>118</v>
      </c>
      <c r="G497" s="35">
        <f>TablaEgreso[[#This Row],[Egreso Total]]-TablaEgreso[[#This Row],[Total Crédito Fiscal]]</f>
        <v>1000000</v>
      </c>
      <c r="H497" s="16"/>
      <c r="I497" s="31">
        <f>IF(TablaEgreso[[#This Row],[Crédito Fiscal]]="Si",Configuración!$B$26,0)</f>
        <v>0</v>
      </c>
      <c r="J497" s="32">
        <f>TablaEgreso[[#This Row],[Egreso Total]]*TablaEgreso[[#This Row],[% de Crédito Fiscal]]</f>
        <v>0</v>
      </c>
      <c r="K497" s="146">
        <v>1000000</v>
      </c>
    </row>
    <row r="498" spans="2:11" ht="20.100000000000001" customHeight="1" x14ac:dyDescent="0.25">
      <c r="B498" s="140">
        <v>45652</v>
      </c>
      <c r="C498" s="127" t="str">
        <f>IF(Egresos!$B498="","",TEXT(Egresos!$B498,"MMMM" ))</f>
        <v>diciembre</v>
      </c>
      <c r="D498" s="16" t="s">
        <v>108</v>
      </c>
      <c r="E498" s="17" t="s">
        <v>548</v>
      </c>
      <c r="F498" s="16" t="s">
        <v>118</v>
      </c>
      <c r="G498" s="35">
        <f>TablaEgreso[[#This Row],[Egreso Total]]-TablaEgreso[[#This Row],[Total Crédito Fiscal]]</f>
        <v>54050</v>
      </c>
      <c r="H498" s="16"/>
      <c r="I498" s="31">
        <f>IF(TablaEgreso[[#This Row],[Crédito Fiscal]]="Si",Configuración!$B$26,0)</f>
        <v>0</v>
      </c>
      <c r="J498" s="32">
        <f>TablaEgreso[[#This Row],[Egreso Total]]*TablaEgreso[[#This Row],[% de Crédito Fiscal]]</f>
        <v>0</v>
      </c>
      <c r="K498" s="146">
        <v>54050</v>
      </c>
    </row>
    <row r="499" spans="2:11" ht="20.100000000000001" customHeight="1" x14ac:dyDescent="0.25">
      <c r="B499" s="140">
        <v>45652</v>
      </c>
      <c r="C499" s="127" t="str">
        <f>IF(Egresos!$B499="","",TEXT(Egresos!$B499,"MMMM" ))</f>
        <v>diciembre</v>
      </c>
      <c r="D499" s="16" t="s">
        <v>113</v>
      </c>
      <c r="E499" s="17" t="s">
        <v>392</v>
      </c>
      <c r="F499" s="16" t="s">
        <v>118</v>
      </c>
      <c r="G499" s="35">
        <f>TablaEgreso[[#This Row],[Egreso Total]]-TablaEgreso[[#This Row],[Total Crédito Fiscal]]</f>
        <v>147600</v>
      </c>
      <c r="H499" s="16"/>
      <c r="I499" s="31">
        <f>IF(TablaEgreso[[#This Row],[Crédito Fiscal]]="Si",Configuración!$B$26,0)</f>
        <v>0</v>
      </c>
      <c r="J499" s="32">
        <f>TablaEgreso[[#This Row],[Egreso Total]]*TablaEgreso[[#This Row],[% de Crédito Fiscal]]</f>
        <v>0</v>
      </c>
      <c r="K499" s="146">
        <v>147600</v>
      </c>
    </row>
    <row r="500" spans="2:11" ht="20.100000000000001" customHeight="1" x14ac:dyDescent="0.25">
      <c r="B500" s="140">
        <v>45652</v>
      </c>
      <c r="C500" s="127" t="str">
        <f>IF(Egresos!$B500="","",TEXT(Egresos!$B500,"MMMM" ))</f>
        <v>diciembre</v>
      </c>
      <c r="D500" s="16" t="s">
        <v>113</v>
      </c>
      <c r="E500" s="17" t="s">
        <v>277</v>
      </c>
      <c r="F500" s="16" t="s">
        <v>119</v>
      </c>
      <c r="G500" s="35">
        <f>TablaEgreso[[#This Row],[Egreso Total]]-TablaEgreso[[#This Row],[Total Crédito Fiscal]]</f>
        <v>43200</v>
      </c>
      <c r="H500" s="16"/>
      <c r="I500" s="31">
        <f>IF(TablaEgreso[[#This Row],[Crédito Fiscal]]="Si",Configuración!$B$26,0)</f>
        <v>0</v>
      </c>
      <c r="J500" s="32">
        <f>TablaEgreso[[#This Row],[Egreso Total]]*TablaEgreso[[#This Row],[% de Crédito Fiscal]]</f>
        <v>0</v>
      </c>
      <c r="K500" s="146">
        <v>43200</v>
      </c>
    </row>
    <row r="501" spans="2:11" ht="20.100000000000001" customHeight="1" x14ac:dyDescent="0.25">
      <c r="B501" s="140">
        <v>45652</v>
      </c>
      <c r="C501" s="127" t="str">
        <f>IF(Egresos!$B501="","",TEXT(Egresos!$B501,"MMMM" ))</f>
        <v>diciembre</v>
      </c>
      <c r="D501" s="16" t="s">
        <v>113</v>
      </c>
      <c r="E501" s="17" t="s">
        <v>177</v>
      </c>
      <c r="F501" s="16" t="s">
        <v>119</v>
      </c>
      <c r="G501" s="35">
        <f>TablaEgreso[[#This Row],[Egreso Total]]-TablaEgreso[[#This Row],[Total Crédito Fiscal]]</f>
        <v>18000</v>
      </c>
      <c r="H501" s="16"/>
      <c r="I501" s="31">
        <f>IF(TablaEgreso[[#This Row],[Crédito Fiscal]]="Si",Configuración!$B$26,0)</f>
        <v>0</v>
      </c>
      <c r="J501" s="32">
        <f>TablaEgreso[[#This Row],[Egreso Total]]*TablaEgreso[[#This Row],[% de Crédito Fiscal]]</f>
        <v>0</v>
      </c>
      <c r="K501" s="146">
        <v>18000</v>
      </c>
    </row>
    <row r="502" spans="2:11" ht="20.100000000000001" customHeight="1" x14ac:dyDescent="0.25">
      <c r="B502" s="140">
        <v>45652</v>
      </c>
      <c r="C502" s="127" t="str">
        <f>IF(Egresos!$B502="","",TEXT(Egresos!$B502,"MMMM" ))</f>
        <v>diciembre</v>
      </c>
      <c r="D502" s="16" t="s">
        <v>102</v>
      </c>
      <c r="E502" s="17" t="s">
        <v>488</v>
      </c>
      <c r="F502" s="16" t="s">
        <v>120</v>
      </c>
      <c r="G502" s="35">
        <f>TablaEgreso[[#This Row],[Egreso Total]]-TablaEgreso[[#This Row],[Total Crédito Fiscal]]</f>
        <v>6400</v>
      </c>
      <c r="H502" s="16"/>
      <c r="I502" s="31">
        <f>IF(TablaEgreso[[#This Row],[Crédito Fiscal]]="Si",Configuración!$B$26,0)</f>
        <v>0</v>
      </c>
      <c r="J502" s="32">
        <f>TablaEgreso[[#This Row],[Egreso Total]]*TablaEgreso[[#This Row],[% de Crédito Fiscal]]</f>
        <v>0</v>
      </c>
      <c r="K502" s="146">
        <v>6400</v>
      </c>
    </row>
    <row r="503" spans="2:11" ht="20.100000000000001" customHeight="1" x14ac:dyDescent="0.25">
      <c r="B503" s="140">
        <v>45638</v>
      </c>
      <c r="C503" s="127" t="str">
        <f>IF(Egresos!$B503="","",TEXT(Egresos!$B503,"MMMM" ))</f>
        <v>diciembre</v>
      </c>
      <c r="D503" s="16" t="s">
        <v>112</v>
      </c>
      <c r="E503" s="17" t="s">
        <v>549</v>
      </c>
      <c r="F503" s="16" t="s">
        <v>12</v>
      </c>
      <c r="G503" s="35">
        <f>TablaEgreso[[#This Row],[Egreso Total]]-TablaEgreso[[#This Row],[Total Crédito Fiscal]]</f>
        <v>15306.83</v>
      </c>
      <c r="H503" s="16"/>
      <c r="I503" s="31">
        <f>IF(TablaEgreso[[#This Row],[Crédito Fiscal]]="Si",Configuración!$B$26,0)</f>
        <v>0</v>
      </c>
      <c r="J503" s="32">
        <f>TablaEgreso[[#This Row],[Egreso Total]]*TablaEgreso[[#This Row],[% de Crédito Fiscal]]</f>
        <v>0</v>
      </c>
      <c r="K503" s="146">
        <v>15306.83</v>
      </c>
    </row>
  </sheetData>
  <mergeCells count="10">
    <mergeCell ref="B6:C6"/>
    <mergeCell ref="F6:G6"/>
    <mergeCell ref="H6:I6"/>
    <mergeCell ref="J6:K6"/>
    <mergeCell ref="E1:H3"/>
    <mergeCell ref="I2:J2"/>
    <mergeCell ref="B5:C5"/>
    <mergeCell ref="F5:G5"/>
    <mergeCell ref="H5:I5"/>
    <mergeCell ref="J5:K5"/>
  </mergeCells>
  <conditionalFormatting sqref="F6:K6">
    <cfRule type="expression" dxfId="74" priority="6">
      <formula>$E$6="Pesos"</formula>
    </cfRule>
    <cfRule type="expression" dxfId="73" priority="7">
      <formula>$E$6="Soles"</formula>
    </cfRule>
    <cfRule type="expression" dxfId="72" priority="8">
      <formula>$E$6="Bolivianos"</formula>
    </cfRule>
    <cfRule type="expression" dxfId="71" priority="9">
      <formula>$E$6="Euros"</formula>
    </cfRule>
    <cfRule type="expression" dxfId="70" priority="10">
      <formula>$E$6="Dólares"</formula>
    </cfRule>
  </conditionalFormatting>
  <conditionalFormatting sqref="J9:K503 G9:G503">
    <cfRule type="expression" dxfId="69" priority="1">
      <formula>$E$6="Pesos"</formula>
    </cfRule>
    <cfRule type="expression" dxfId="68" priority="2">
      <formula>$E$6="Soles"</formula>
    </cfRule>
    <cfRule type="expression" dxfId="67" priority="3">
      <formula>$E$6="Euros"</formula>
    </cfRule>
    <cfRule type="expression" dxfId="66" priority="4">
      <formula>$E$6="Dólares"</formula>
    </cfRule>
    <cfRule type="expression" dxfId="65" priority="5">
      <formula>$E$6="Bolivianos"</formula>
    </cfRule>
  </conditionalFormatting>
  <dataValidations count="1">
    <dataValidation type="list" allowBlank="1" showInputMessage="1" showErrorMessage="1" sqref="H9:H503" xr:uid="{00000000-0002-0000-0300-000000000000}">
      <formula1>"Si,No"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1000000}">
          <x14:formula1>
            <xm:f>Configuración!$G$8:$G$19</xm:f>
          </x14:formula1>
          <xm:sqref>F9:F503</xm:sqref>
        </x14:dataValidation>
        <x14:dataValidation type="list" allowBlank="1" showInputMessage="1" showErrorMessage="1" xr:uid="{00000000-0002-0000-0300-000002000000}">
          <x14:formula1>
            <xm:f>Configuración!$E$9:$E$44</xm:f>
          </x14:formula1>
          <xm:sqref>D9:D503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7ED957"/>
  </sheetPr>
  <dimension ref="A1:K79"/>
  <sheetViews>
    <sheetView zoomScale="85" zoomScaleNormal="85" workbookViewId="0">
      <selection activeCell="D9" sqref="D9"/>
    </sheetView>
  </sheetViews>
  <sheetFormatPr baseColWidth="10" defaultRowHeight="20.100000000000001" customHeight="1" x14ac:dyDescent="0.25"/>
  <cols>
    <col min="1" max="1" width="11.42578125" style="9"/>
    <col min="2" max="2" width="35.7109375" style="1" customWidth="1"/>
    <col min="3" max="3" width="25.7109375" style="1" customWidth="1"/>
    <col min="4" max="4" width="20.7109375" style="1" customWidth="1"/>
    <col min="5" max="5" width="25.7109375" style="1" customWidth="1"/>
    <col min="6" max="6" width="28.7109375" style="1" customWidth="1"/>
    <col min="7" max="7" width="35.7109375" style="1" customWidth="1"/>
    <col min="8" max="8" width="25.7109375" style="1" customWidth="1"/>
    <col min="9" max="9" width="20.7109375" style="1" customWidth="1"/>
    <col min="10" max="10" width="25.7109375" style="1" customWidth="1"/>
    <col min="11" max="11" width="11.42578125" style="9"/>
    <col min="12" max="16384" width="11.42578125" style="1"/>
  </cols>
  <sheetData>
    <row r="1" spans="1:11" ht="20.100000000000001" customHeight="1" x14ac:dyDescent="0.25">
      <c r="A1" s="37"/>
      <c r="B1" s="37"/>
      <c r="C1" s="37"/>
      <c r="D1" s="155" t="s">
        <v>51</v>
      </c>
      <c r="E1" s="155"/>
      <c r="F1" s="155"/>
      <c r="G1" s="155"/>
      <c r="H1" s="37"/>
      <c r="I1" s="37"/>
      <c r="J1" s="37"/>
      <c r="K1" s="37"/>
    </row>
    <row r="2" spans="1:11" ht="20.100000000000001" customHeight="1" x14ac:dyDescent="0.25">
      <c r="A2" s="37"/>
      <c r="B2" s="37"/>
      <c r="C2" s="37"/>
      <c r="D2" s="155"/>
      <c r="E2" s="155"/>
      <c r="F2" s="155"/>
      <c r="G2" s="155"/>
      <c r="H2" s="180" t="str">
        <f>Configuración!$B$8</f>
        <v>Nombre de tu empresa</v>
      </c>
      <c r="I2" s="180"/>
      <c r="J2" s="39">
        <f>Configuración!$B$11</f>
        <v>2024</v>
      </c>
      <c r="K2" s="37"/>
    </row>
    <row r="3" spans="1:11" ht="20.100000000000001" customHeight="1" x14ac:dyDescent="0.25">
      <c r="A3" s="37"/>
      <c r="B3" s="37"/>
      <c r="C3" s="37"/>
      <c r="D3" s="155"/>
      <c r="E3" s="155"/>
      <c r="F3" s="155"/>
      <c r="G3" s="155"/>
      <c r="H3" s="37"/>
      <c r="I3" s="37"/>
      <c r="J3" s="37"/>
      <c r="K3" s="37"/>
    </row>
    <row r="4" spans="1:11" s="9" customFormat="1" ht="20.100000000000001" customHeight="1" x14ac:dyDescent="0.25">
      <c r="I4" s="177"/>
      <c r="J4" s="177"/>
    </row>
    <row r="5" spans="1:11" ht="30" customHeight="1" x14ac:dyDescent="0.25">
      <c r="B5" s="2" t="s">
        <v>50</v>
      </c>
      <c r="C5" s="181" t="s">
        <v>75</v>
      </c>
      <c r="D5" s="162"/>
      <c r="E5" s="175" t="s">
        <v>76</v>
      </c>
      <c r="F5" s="175"/>
      <c r="G5" s="185" t="s">
        <v>77</v>
      </c>
      <c r="H5" s="185"/>
      <c r="I5" s="187" t="s">
        <v>56</v>
      </c>
      <c r="J5" s="187"/>
    </row>
    <row r="6" spans="1:11" ht="30" customHeight="1" x14ac:dyDescent="0.25">
      <c r="B6" s="133">
        <v>45626</v>
      </c>
      <c r="C6" s="182">
        <f>SUM(C21:C45)</f>
        <v>0</v>
      </c>
      <c r="D6" s="183"/>
      <c r="E6" s="184">
        <f>SUM(J21:J45)</f>
        <v>0</v>
      </c>
      <c r="F6" s="184"/>
      <c r="G6" s="186">
        <f>SUM(E21:E45)</f>
        <v>0</v>
      </c>
      <c r="H6" s="186"/>
      <c r="I6" s="188">
        <f>$G$6-$E$6</f>
        <v>0</v>
      </c>
      <c r="J6" s="188"/>
    </row>
    <row r="7" spans="1:11" s="9" customFormat="1" ht="20.100000000000001" customHeight="1" x14ac:dyDescent="0.25">
      <c r="A7" s="176" t="s">
        <v>57</v>
      </c>
      <c r="B7" s="52" t="str">
        <f>Configuración!$B$17</f>
        <v>Pesos</v>
      </c>
    </row>
    <row r="8" spans="1:11" ht="20.100000000000001" customHeight="1" x14ac:dyDescent="0.25">
      <c r="A8" s="176"/>
      <c r="B8" s="70">
        <f>$B$6-DAY($B$6)+1</f>
        <v>45597</v>
      </c>
      <c r="D8" s="9"/>
      <c r="G8" s="66"/>
      <c r="H8" s="71"/>
      <c r="I8" s="71"/>
      <c r="J8" s="72"/>
    </row>
    <row r="9" spans="1:11" ht="20.100000000000001" customHeight="1" x14ac:dyDescent="0.25">
      <c r="B9" s="70"/>
      <c r="D9" s="9"/>
      <c r="G9" s="105"/>
      <c r="H9" s="134" t="s">
        <v>58</v>
      </c>
      <c r="I9" s="135" t="s">
        <v>97</v>
      </c>
      <c r="J9" s="106"/>
    </row>
    <row r="10" spans="1:11" ht="20.100000000000001" customHeight="1" x14ac:dyDescent="0.25">
      <c r="D10" s="9"/>
      <c r="G10" s="107" t="e" cm="1">
        <f t="array" aca="1" ref="G10" ca="1">_xlfn.IFS($B$9=Configuración!I12,Configuración!$J$12,$B$9=Configuración!I13,Configuración!J13,$B$9=Configuración!I14,Configuración!J14,$B$9=Configuración!I15,Configuración!J15,$B$9=Configuración!I16,Configuración!J16,$B$9=Configuración!I17,Configuración!J17,$B$9=Configuración!I18,Configuración!J18,$B$9=Configuración!I19,Configuración!J19,$B$9=Configuración!I20,Configuración!J20,$B$9=Configuración!I21,Configuración!J21,$B$9=Configuración!I22,Configuración!J22,$B$9=Configuración!I23,Configuración!J23)</f>
        <v>#NAME?</v>
      </c>
      <c r="H10" s="136" t="e">
        <f ca="1">_xlfn.XLOOKUP($B$6,Configuración!I12:I23,Configuración!K12:K23,0,0)</f>
        <v>#NAME?</v>
      </c>
      <c r="I10" s="137">
        <f>$I$6</f>
        <v>0</v>
      </c>
      <c r="J10" s="106"/>
    </row>
    <row r="11" spans="1:11" ht="20.100000000000001" customHeight="1" x14ac:dyDescent="0.25">
      <c r="D11" s="9"/>
      <c r="G11" s="54"/>
      <c r="H11" s="9"/>
      <c r="I11" s="54"/>
      <c r="J11" s="54"/>
    </row>
    <row r="12" spans="1:11" ht="20.100000000000001" customHeight="1" x14ac:dyDescent="0.25">
      <c r="D12" s="9"/>
      <c r="G12" s="72"/>
      <c r="H12" s="72"/>
      <c r="I12" s="72"/>
      <c r="J12" s="72"/>
    </row>
    <row r="13" spans="1:11" ht="20.100000000000001" customHeight="1" x14ac:dyDescent="0.25">
      <c r="D13" s="9"/>
      <c r="G13" s="72"/>
      <c r="H13" s="72"/>
      <c r="I13" s="72"/>
      <c r="J13" s="72"/>
    </row>
    <row r="14" spans="1:11" ht="20.100000000000001" customHeight="1" x14ac:dyDescent="0.25">
      <c r="D14" s="9"/>
      <c r="G14" s="72"/>
      <c r="H14" s="72"/>
      <c r="I14" s="72"/>
      <c r="J14" s="72"/>
    </row>
    <row r="15" spans="1:11" ht="20.100000000000001" customHeight="1" x14ac:dyDescent="0.25">
      <c r="D15" s="9"/>
      <c r="G15" s="72"/>
      <c r="H15" s="72"/>
      <c r="I15" s="72"/>
      <c r="J15" s="72"/>
    </row>
    <row r="16" spans="1:11" ht="20.100000000000001" customHeight="1" x14ac:dyDescent="0.25">
      <c r="D16" s="9"/>
      <c r="G16" s="54"/>
      <c r="H16" s="54"/>
      <c r="I16" s="54"/>
      <c r="J16" s="54"/>
    </row>
    <row r="17" spans="1:10" s="9" customFormat="1" ht="20.100000000000001" customHeight="1" x14ac:dyDescent="0.25"/>
    <row r="18" spans="1:10" s="9" customFormat="1" ht="20.100000000000001" customHeight="1" x14ac:dyDescent="0.25"/>
    <row r="19" spans="1:10" ht="30" customHeight="1" x14ac:dyDescent="0.25">
      <c r="B19" s="178" t="s">
        <v>59</v>
      </c>
      <c r="C19" s="178"/>
      <c r="D19" s="178"/>
      <c r="E19" s="178"/>
      <c r="F19" s="9"/>
      <c r="G19" s="179" t="s">
        <v>60</v>
      </c>
      <c r="H19" s="179"/>
      <c r="I19" s="179"/>
      <c r="J19" s="179"/>
    </row>
    <row r="20" spans="1:10" ht="24.95" customHeight="1" x14ac:dyDescent="0.25">
      <c r="A20" s="51"/>
      <c r="B20" s="48" t="s">
        <v>61</v>
      </c>
      <c r="C20" s="49" t="s">
        <v>17</v>
      </c>
      <c r="D20" s="49" t="s">
        <v>49</v>
      </c>
      <c r="E20" s="50" t="s">
        <v>52</v>
      </c>
      <c r="F20" s="56"/>
      <c r="G20" s="108" t="s">
        <v>61</v>
      </c>
      <c r="H20" s="125" t="s">
        <v>47</v>
      </c>
      <c r="I20" s="125" t="s">
        <v>43</v>
      </c>
      <c r="J20" s="126" t="s">
        <v>17</v>
      </c>
    </row>
    <row r="21" spans="1:10" ht="20.100000000000001" customHeight="1" x14ac:dyDescent="0.25">
      <c r="B21" s="45" t="str" cm="1">
        <f t="array" ref="B21:B45">Configuración!D9:D19</f>
        <v>Banco Galicia</v>
      </c>
      <c r="C21" s="46">
        <f>SUMIFS(TablaIngresos[Ingreso],TablaIngresos[Categoría],B21,TablaIngresos[Fecha],"&gt;="&amp;$B$8,TablaIngresos[Fecha],"&lt;="&amp;$B$6)</f>
        <v>0</v>
      </c>
      <c r="D21" s="46">
        <f>SUMIFS(TablaIngresos[Total Impuesto],TablaIngresos[Categoría],B21,TablaIngresos[Fecha],"&gt;="&amp;$B$8,TablaIngresos[Fecha],"&lt;="&amp;$B$6)</f>
        <v>0</v>
      </c>
      <c r="E21" s="47">
        <f>SUMIFS(TablaIngresos[Ingreso Neto],TablaIngresos[Categoría],B21,TablaIngresos[Fecha],"&gt;="&amp;$B$8,TablaIngresos[Fecha],"&lt;="&amp;$B$6)</f>
        <v>0</v>
      </c>
      <c r="F21" s="9"/>
      <c r="G21" s="42" t="str" cm="1">
        <f t="array" ref="G21:G45">Configuración!E9:E44</f>
        <v>Aditivos</v>
      </c>
      <c r="H21" s="43">
        <f>SUMIFS(TablaEgreso[Egreso sin C.F.],TablaEgreso[Categoría],G21,TablaEgreso[Fecha],"&gt;="&amp;$B$8,TablaEgreso[Fecha],"&lt;="&amp;$B$6)</f>
        <v>0</v>
      </c>
      <c r="I21" s="43">
        <f>SUMIFS(TablaEgreso[Total Crédito Fiscal],TablaEgreso[Categoría],G21,TablaEgreso[Fecha],"&gt;="&amp;$B$8,TablaEgreso[Fecha],"&lt;="&amp;$B$6)</f>
        <v>0</v>
      </c>
      <c r="J21" s="44">
        <f>SUMIFS(TablaEgreso[Egreso Total],TablaEgreso[Categoría],G21,TablaEgreso[Fecha],"&gt;="&amp;$B$8,TablaEgreso[Fecha],"&lt;="&amp;$B$6)</f>
        <v>0</v>
      </c>
    </row>
    <row r="22" spans="1:10" ht="20.100000000000001" customHeight="1" x14ac:dyDescent="0.25">
      <c r="B22" s="40" t="str">
        <v>Banco Nación</v>
      </c>
      <c r="C22" s="46">
        <f>SUMIFS(TablaIngresos[Ingreso],TablaIngresos[Categoría],B22,TablaIngresos[Fecha],"&gt;="&amp;$B$8,TablaIngresos[Fecha],"&lt;="&amp;$B$6)</f>
        <v>0</v>
      </c>
      <c r="D22" s="46">
        <f>SUMIFS(TablaIngresos[Total Impuesto],TablaIngresos[Categoría],B22,TablaIngresos[Fecha],"&gt;="&amp;$B$8,TablaIngresos[Fecha],"&lt;="&amp;$B$6)</f>
        <v>0</v>
      </c>
      <c r="E22" s="47">
        <f>SUMIFS(TablaIngresos[Ingreso Neto],TablaIngresos[Categoría],B22,TablaIngresos[Fecha],"&gt;="&amp;$B$8,TablaIngresos[Fecha],"&lt;="&amp;$B$6)</f>
        <v>0</v>
      </c>
      <c r="F22" s="9"/>
      <c r="G22" s="41" t="str">
        <v>Afilado</v>
      </c>
      <c r="H22" s="43">
        <f>SUMIFS(TablaEgreso[Egreso sin C.F.],TablaEgreso[Categoría],G22,TablaEgreso[Fecha],"&gt;="&amp;$B$8,TablaEgreso[Fecha],"&lt;="&amp;$B$6)</f>
        <v>0</v>
      </c>
      <c r="I22" s="43">
        <f>SUMIFS(TablaEgreso[Total Crédito Fiscal],TablaEgreso[Categoría],G22,TablaEgreso[Fecha],"&gt;="&amp;$B$8,TablaEgreso[Fecha],"&lt;="&amp;$B$6)</f>
        <v>0</v>
      </c>
      <c r="J22" s="44">
        <f>SUMIFS(TablaEgreso[Egreso Total],TablaEgreso[Categoría],G22,TablaEgreso[Fecha],"&gt;="&amp;$B$8,TablaEgreso[Fecha],"&lt;="&amp;$B$6)</f>
        <v>0</v>
      </c>
    </row>
    <row r="23" spans="1:10" ht="20.100000000000001" customHeight="1" x14ac:dyDescent="0.25">
      <c r="B23" s="40" t="str">
        <v>Banco Santander</v>
      </c>
      <c r="C23" s="46">
        <f>SUMIFS(TablaIngresos[Ingreso],TablaIngresos[Categoría],B23,TablaIngresos[Fecha],"&gt;="&amp;$B$8,TablaIngresos[Fecha],"&lt;="&amp;$B$6)</f>
        <v>0</v>
      </c>
      <c r="D23" s="46">
        <f>SUMIFS(TablaIngresos[Total Impuesto],TablaIngresos[Categoría],B23,TablaIngresos[Fecha],"&gt;="&amp;$B$8,TablaIngresos[Fecha],"&lt;="&amp;$B$6)</f>
        <v>0</v>
      </c>
      <c r="E23" s="47">
        <f>SUMIFS(TablaIngresos[Ingreso Neto],TablaIngresos[Categoría],B23,TablaIngresos[Fecha],"&gt;="&amp;$B$8,TablaIngresos[Fecha],"&lt;="&amp;$B$6)</f>
        <v>0</v>
      </c>
      <c r="F23" s="9"/>
      <c r="G23" s="41" t="str">
        <v>Alimento Granja</v>
      </c>
      <c r="H23" s="43">
        <f>SUMIFS(TablaEgreso[Egreso sin C.F.],TablaEgreso[Categoría],G23,TablaEgreso[Fecha],"&gt;="&amp;$B$8,TablaEgreso[Fecha],"&lt;="&amp;$B$6)</f>
        <v>0</v>
      </c>
      <c r="I23" s="43">
        <f>SUMIFS(TablaEgreso[Total Crédito Fiscal],TablaEgreso[Categoría],G23,TablaEgreso[Fecha],"&gt;="&amp;$B$8,TablaEgreso[Fecha],"&lt;="&amp;$B$6)</f>
        <v>0</v>
      </c>
      <c r="J23" s="44">
        <f>SUMIFS(TablaEgreso[Egreso Total],TablaEgreso[Categoría],G23,TablaEgreso[Fecha],"&gt;="&amp;$B$8,TablaEgreso[Fecha],"&lt;="&amp;$B$6)</f>
        <v>0</v>
      </c>
    </row>
    <row r="24" spans="1:10" ht="20.100000000000001" customHeight="1" x14ac:dyDescent="0.25">
      <c r="B24" s="40" t="str">
        <v>Banco Superville</v>
      </c>
      <c r="C24" s="46">
        <f>SUMIFS(TablaIngresos[Ingreso],TablaIngresos[Categoría],B24,TablaIngresos[Fecha],"&gt;="&amp;$B$8,TablaIngresos[Fecha],"&lt;="&amp;$B$6)</f>
        <v>0</v>
      </c>
      <c r="D24" s="46">
        <f>SUMIFS(TablaIngresos[Total Impuesto],TablaIngresos[Categoría],B24,TablaIngresos[Fecha],"&gt;="&amp;$B$8,TablaIngresos[Fecha],"&lt;="&amp;$B$6)</f>
        <v>0</v>
      </c>
      <c r="E24" s="47">
        <f>SUMIFS(TablaIngresos[Ingreso Neto],TablaIngresos[Categoría],B24,TablaIngresos[Fecha],"&gt;="&amp;$B$8,TablaIngresos[Fecha],"&lt;="&amp;$B$6)</f>
        <v>0</v>
      </c>
      <c r="F24" s="9"/>
      <c r="G24" s="41" t="str">
        <v>Alquiler</v>
      </c>
      <c r="H24" s="43">
        <f>SUMIFS(TablaEgreso[Egreso sin C.F.],TablaEgreso[Categoría],G24,TablaEgreso[Fecha],"&gt;="&amp;$B$8,TablaEgreso[Fecha],"&lt;="&amp;$B$6)</f>
        <v>0</v>
      </c>
      <c r="I24" s="43">
        <f>SUMIFS(TablaEgreso[Total Crédito Fiscal],TablaEgreso[Categoría],G24,TablaEgreso[Fecha],"&gt;="&amp;$B$8,TablaEgreso[Fecha],"&lt;="&amp;$B$6)</f>
        <v>0</v>
      </c>
      <c r="J24" s="44">
        <f>SUMIFS(TablaEgreso[Egreso Total],TablaEgreso[Categoría],G24,TablaEgreso[Fecha],"&gt;="&amp;$B$8,TablaEgreso[Fecha],"&lt;="&amp;$B$6)</f>
        <v>0</v>
      </c>
    </row>
    <row r="25" spans="1:10" ht="20.100000000000001" customHeight="1" x14ac:dyDescent="0.25">
      <c r="B25" s="40" t="str">
        <v>Banco Superville castelar</v>
      </c>
      <c r="C25" s="46">
        <f>SUMIFS(TablaIngresos[Ingreso],TablaIngresos[Categoría],B25,TablaIngresos[Fecha],"&gt;="&amp;$B$8,TablaIngresos[Fecha],"&lt;="&amp;$B$6)</f>
        <v>0</v>
      </c>
      <c r="D25" s="46">
        <f>SUMIFS(TablaIngresos[Total Impuesto],TablaIngresos[Categoría],B25,TablaIngresos[Fecha],"&gt;="&amp;$B$8,TablaIngresos[Fecha],"&lt;="&amp;$B$6)</f>
        <v>0</v>
      </c>
      <c r="E25" s="47">
        <f>SUMIFS(TablaIngresos[Ingreso Neto],TablaIngresos[Categoría],B25,TablaIngresos[Fecha],"&gt;="&amp;$B$8,TablaIngresos[Fecha],"&lt;="&amp;$B$6)</f>
        <v>0</v>
      </c>
      <c r="F25" s="9"/>
      <c r="G25" s="41" t="str">
        <v>Colaboración</v>
      </c>
      <c r="H25" s="43">
        <f>SUMIFS(TablaEgreso[Egreso sin C.F.],TablaEgreso[Categoría],G25,TablaEgreso[Fecha],"&gt;="&amp;$B$8,TablaEgreso[Fecha],"&lt;="&amp;$B$6)</f>
        <v>0</v>
      </c>
      <c r="I25" s="43">
        <f>SUMIFS(TablaEgreso[Total Crédito Fiscal],TablaEgreso[Categoría],G25,TablaEgreso[Fecha],"&gt;="&amp;$B$8,TablaEgreso[Fecha],"&lt;="&amp;$B$6)</f>
        <v>0</v>
      </c>
      <c r="J25" s="44">
        <f>SUMIFS(TablaEgreso[Egreso Total],TablaEgreso[Categoría],G25,TablaEgreso[Fecha],"&gt;="&amp;$B$8,TablaEgreso[Fecha],"&lt;="&amp;$B$6)</f>
        <v>0</v>
      </c>
    </row>
    <row r="26" spans="1:10" ht="20.100000000000001" customHeight="1" x14ac:dyDescent="0.25">
      <c r="B26" s="40" t="str">
        <v>Deposito</v>
      </c>
      <c r="C26" s="46">
        <f>SUMIFS(TablaIngresos[Ingreso],TablaIngresos[Categoría],B26,TablaIngresos[Fecha],"&gt;="&amp;$B$8,TablaIngresos[Fecha],"&lt;="&amp;$B$6)</f>
        <v>0</v>
      </c>
      <c r="D26" s="46">
        <f>SUMIFS(TablaIngresos[Total Impuesto],TablaIngresos[Categoría],B26,TablaIngresos[Fecha],"&gt;="&amp;$B$8,TablaIngresos[Fecha],"&lt;="&amp;$B$6)</f>
        <v>0</v>
      </c>
      <c r="E26" s="47">
        <f>SUMIFS(TablaIngresos[Ingreso Neto],TablaIngresos[Categoría],B26,TablaIngresos[Fecha],"&gt;="&amp;$B$8,TablaIngresos[Fecha],"&lt;="&amp;$B$6)</f>
        <v>0</v>
      </c>
      <c r="F26" s="9"/>
      <c r="G26" s="41" t="str">
        <v>Combustible</v>
      </c>
      <c r="H26" s="43">
        <f>SUMIFS(TablaEgreso[Egreso sin C.F.],TablaEgreso[Categoría],G26,TablaEgreso[Fecha],"&gt;="&amp;$B$8,TablaEgreso[Fecha],"&lt;="&amp;$B$6)</f>
        <v>0</v>
      </c>
      <c r="I26" s="43">
        <f>SUMIFS(TablaEgreso[Total Crédito Fiscal],TablaEgreso[Categoría],G26,TablaEgreso[Fecha],"&gt;="&amp;$B$8,TablaEgreso[Fecha],"&lt;="&amp;$B$6)</f>
        <v>0</v>
      </c>
      <c r="J26" s="44">
        <f>SUMIFS(TablaEgreso[Egreso Total],TablaEgreso[Categoría],G26,TablaEgreso[Fecha],"&gt;="&amp;$B$8,TablaEgreso[Fecha],"&lt;="&amp;$B$6)</f>
        <v>0</v>
      </c>
    </row>
    <row r="27" spans="1:10" ht="20.100000000000001" customHeight="1" x14ac:dyDescent="0.25">
      <c r="B27" s="40" t="str">
        <v>Ventas Local Alvear</v>
      </c>
      <c r="C27" s="46">
        <f>SUMIFS(TablaIngresos[Ingreso],TablaIngresos[Categoría],B27,TablaIngresos[Fecha],"&gt;="&amp;$B$8,TablaIngresos[Fecha],"&lt;="&amp;$B$6)</f>
        <v>0</v>
      </c>
      <c r="D27" s="46">
        <f>SUMIFS(TablaIngresos[Total Impuesto],TablaIngresos[Categoría],B27,TablaIngresos[Fecha],"&gt;="&amp;$B$8,TablaIngresos[Fecha],"&lt;="&amp;$B$6)</f>
        <v>0</v>
      </c>
      <c r="E27" s="47">
        <f>SUMIFS(TablaIngresos[Ingreso Neto],TablaIngresos[Categoría],B27,TablaIngresos[Fecha],"&gt;="&amp;$B$8,TablaIngresos[Fecha],"&lt;="&amp;$B$6)</f>
        <v>0</v>
      </c>
      <c r="F27" s="9"/>
      <c r="G27" s="41" t="str">
        <v>Consumo Personal</v>
      </c>
      <c r="H27" s="43">
        <f>SUMIFS(TablaEgreso[Egreso sin C.F.],TablaEgreso[Categoría],G27,TablaEgreso[Fecha],"&gt;="&amp;$B$8,TablaEgreso[Fecha],"&lt;="&amp;$B$6)</f>
        <v>0</v>
      </c>
      <c r="I27" s="43">
        <f>SUMIFS(TablaEgreso[Total Crédito Fiscal],TablaEgreso[Categoría],G27,TablaEgreso[Fecha],"&gt;="&amp;$B$8,TablaEgreso[Fecha],"&lt;="&amp;$B$6)</f>
        <v>0</v>
      </c>
      <c r="J27" s="44">
        <f>SUMIFS(TablaEgreso[Egreso Total],TablaEgreso[Categoría],G27,TablaEgreso[Fecha],"&gt;="&amp;$B$8,TablaEgreso[Fecha],"&lt;="&amp;$B$6)</f>
        <v>0</v>
      </c>
    </row>
    <row r="28" spans="1:10" ht="20.100000000000001" customHeight="1" x14ac:dyDescent="0.25">
      <c r="B28" s="40" t="str">
        <v>Ventas Local San Rafael</v>
      </c>
      <c r="C28" s="46">
        <f>SUMIFS(TablaIngresos[Ingreso],TablaIngresos[Categoría],B28,TablaIngresos[Fecha],"&gt;="&amp;$B$8,TablaIngresos[Fecha],"&lt;="&amp;$B$6)</f>
        <v>0</v>
      </c>
      <c r="D28" s="46">
        <f>SUMIFS(TablaIngresos[Total Impuesto],TablaIngresos[Categoría],B28,TablaIngresos[Fecha],"&gt;="&amp;$B$8,TablaIngresos[Fecha],"&lt;="&amp;$B$6)</f>
        <v>0</v>
      </c>
      <c r="E28" s="47">
        <f>SUMIFS(TablaIngresos[Ingreso Neto],TablaIngresos[Categoría],B28,TablaIngresos[Fecha],"&gt;="&amp;$B$8,TablaIngresos[Fecha],"&lt;="&amp;$B$6)</f>
        <v>0</v>
      </c>
      <c r="F28" s="9"/>
      <c r="G28" s="41" t="str">
        <v>Descartables</v>
      </c>
      <c r="H28" s="43">
        <f>SUMIFS(TablaEgreso[Egreso sin C.F.],TablaEgreso[Categoría],G28,TablaEgreso[Fecha],"&gt;="&amp;$B$8,TablaEgreso[Fecha],"&lt;="&amp;$B$6)</f>
        <v>0</v>
      </c>
      <c r="I28" s="43">
        <f>SUMIFS(TablaEgreso[Total Crédito Fiscal],TablaEgreso[Categoría],G28,TablaEgreso[Fecha],"&gt;="&amp;$B$8,TablaEgreso[Fecha],"&lt;="&amp;$B$6)</f>
        <v>0</v>
      </c>
      <c r="J28" s="44">
        <f>SUMIFS(TablaEgreso[Egreso Total],TablaEgreso[Categoría],G28,TablaEgreso[Fecha],"&gt;="&amp;$B$8,TablaEgreso[Fecha],"&lt;="&amp;$B$6)</f>
        <v>0</v>
      </c>
    </row>
    <row r="29" spans="1:10" ht="20.100000000000001" customHeight="1" x14ac:dyDescent="0.25">
      <c r="B29" s="40" t="str">
        <v>Ventas Local San Martín</v>
      </c>
      <c r="C29" s="46">
        <f>SUMIFS(TablaIngresos[Ingreso],TablaIngresos[Categoría],B29,TablaIngresos[Fecha],"&gt;="&amp;$B$8,TablaIngresos[Fecha],"&lt;="&amp;$B$6)</f>
        <v>0</v>
      </c>
      <c r="D29" s="46">
        <f>SUMIFS(TablaIngresos[Total Impuesto],TablaIngresos[Categoría],B29,TablaIngresos[Fecha],"&gt;="&amp;$B$8,TablaIngresos[Fecha],"&lt;="&amp;$B$6)</f>
        <v>0</v>
      </c>
      <c r="E29" s="47">
        <f>SUMIFS(TablaIngresos[Ingreso Neto],TablaIngresos[Categoría],B29,TablaIngresos[Fecha],"&gt;="&amp;$B$8,TablaIngresos[Fecha],"&lt;="&amp;$B$6)</f>
        <v>0</v>
      </c>
      <c r="F29" s="9"/>
      <c r="G29" s="41" t="str">
        <v>Desinfección</v>
      </c>
      <c r="H29" s="43">
        <f>SUMIFS(TablaEgreso[Egreso sin C.F.],TablaEgreso[Categoría],G29,TablaEgreso[Fecha],"&gt;="&amp;$B$8,TablaEgreso[Fecha],"&lt;="&amp;$B$6)</f>
        <v>0</v>
      </c>
      <c r="I29" s="43">
        <f>SUMIFS(TablaEgreso[Total Crédito Fiscal],TablaEgreso[Categoría],G29,TablaEgreso[Fecha],"&gt;="&amp;$B$8,TablaEgreso[Fecha],"&lt;="&amp;$B$6)</f>
        <v>0</v>
      </c>
      <c r="J29" s="44">
        <f>SUMIFS(TablaEgreso[Egreso Total],TablaEgreso[Categoría],G29,TablaEgreso[Fecha],"&gt;="&amp;$B$8,TablaEgreso[Fecha],"&lt;="&amp;$B$6)</f>
        <v>0</v>
      </c>
    </row>
    <row r="30" spans="1:10" ht="20.100000000000001" customHeight="1" x14ac:dyDescent="0.25">
      <c r="B30" s="40" t="str">
        <v>Ventas Mendoza (Mauri)</v>
      </c>
      <c r="C30" s="46">
        <f>SUMIFS(TablaIngresos[Ingreso],TablaIngresos[Categoría],B30,TablaIngresos[Fecha],"&gt;="&amp;$B$8,TablaIngresos[Fecha],"&lt;="&amp;$B$6)</f>
        <v>0</v>
      </c>
      <c r="D30" s="46">
        <f>SUMIFS(TablaIngresos[Total Impuesto],TablaIngresos[Categoría],B30,TablaIngresos[Fecha],"&gt;="&amp;$B$8,TablaIngresos[Fecha],"&lt;="&amp;$B$6)</f>
        <v>0</v>
      </c>
      <c r="E30" s="47">
        <f>SUMIFS(TablaIngresos[Ingreso Neto],TablaIngresos[Categoría],B30,TablaIngresos[Fecha],"&gt;="&amp;$B$8,TablaIngresos[Fecha],"&lt;="&amp;$B$6)</f>
        <v>0</v>
      </c>
      <c r="F30" s="9"/>
      <c r="G30" s="41" t="str">
        <v>Dosis de Inseminación</v>
      </c>
      <c r="H30" s="43">
        <f>SUMIFS(TablaEgreso[Egreso sin C.F.],TablaEgreso[Categoría],G30,TablaEgreso[Fecha],"&gt;="&amp;$B$8,TablaEgreso[Fecha],"&lt;="&amp;$B$6)</f>
        <v>0</v>
      </c>
      <c r="I30" s="43">
        <f>SUMIFS(TablaEgreso[Total Crédito Fiscal],TablaEgreso[Categoría],G30,TablaEgreso[Fecha],"&gt;="&amp;$B$8,TablaEgreso[Fecha],"&lt;="&amp;$B$6)</f>
        <v>0</v>
      </c>
      <c r="J30" s="44">
        <f>SUMIFS(TablaEgreso[Egreso Total],TablaEgreso[Categoría],G30,TablaEgreso[Fecha],"&gt;="&amp;$B$8,TablaEgreso[Fecha],"&lt;="&amp;$B$6)</f>
        <v>0</v>
      </c>
    </row>
    <row r="31" spans="1:10" ht="20.100000000000001" customHeight="1" x14ac:dyDescent="0.25">
      <c r="B31" s="40" t="str">
        <v>Ventas Frigorífico</v>
      </c>
      <c r="C31" s="46">
        <f>SUMIFS(TablaIngresos[Ingreso],TablaIngresos[Categoría],B31,TablaIngresos[Fecha],"&gt;="&amp;$B$8,TablaIngresos[Fecha],"&lt;="&amp;$B$6)</f>
        <v>0</v>
      </c>
      <c r="D31" s="46">
        <f>SUMIFS(TablaIngresos[Total Impuesto],TablaIngresos[Categoría],B31,TablaIngresos[Fecha],"&gt;="&amp;$B$8,TablaIngresos[Fecha],"&lt;="&amp;$B$6)</f>
        <v>0</v>
      </c>
      <c r="E31" s="47">
        <f>SUMIFS(TablaIngresos[Ingreso Neto],TablaIngresos[Categoría],B31,TablaIngresos[Fecha],"&gt;="&amp;$B$8,TablaIngresos[Fecha],"&lt;="&amp;$B$6)</f>
        <v>0</v>
      </c>
      <c r="F31" s="9"/>
      <c r="G31" s="41" t="str">
        <v>Frio Andino</v>
      </c>
      <c r="H31" s="43">
        <f>SUMIFS(TablaEgreso[Egreso sin C.F.],TablaEgreso[Categoría],G31,TablaEgreso[Fecha],"&gt;="&amp;$B$8,TablaEgreso[Fecha],"&lt;="&amp;$B$6)</f>
        <v>0</v>
      </c>
      <c r="I31" s="43">
        <f>SUMIFS(TablaEgreso[Total Crédito Fiscal],TablaEgreso[Categoría],G31,TablaEgreso[Fecha],"&gt;="&amp;$B$8,TablaEgreso[Fecha],"&lt;="&amp;$B$6)</f>
        <v>0</v>
      </c>
      <c r="J31" s="44">
        <f>SUMIFS(TablaEgreso[Egreso Total],TablaEgreso[Categoría],G31,TablaEgreso[Fecha],"&gt;="&amp;$B$8,TablaEgreso[Fecha],"&lt;="&amp;$B$6)</f>
        <v>0</v>
      </c>
    </row>
    <row r="32" spans="1:10" ht="20.100000000000001" customHeight="1" x14ac:dyDescent="0.25">
      <c r="B32" s="40" t="e">
        <v>#N/A</v>
      </c>
      <c r="C32" s="46">
        <f>SUMIFS(TablaIngresos[Ingreso],TablaIngresos[Categoría],B32,TablaIngresos[Fecha],"&gt;="&amp;$B$8,TablaIngresos[Fecha],"&lt;="&amp;$B$6)</f>
        <v>0</v>
      </c>
      <c r="D32" s="46">
        <f>SUMIFS(TablaIngresos[Total Impuesto],TablaIngresos[Categoría],B32,TablaIngresos[Fecha],"&gt;="&amp;$B$8,TablaIngresos[Fecha],"&lt;="&amp;$B$6)</f>
        <v>0</v>
      </c>
      <c r="E32" s="47">
        <f>SUMIFS(TablaIngresos[Ingreso Neto],TablaIngresos[Categoría],B32,TablaIngresos[Fecha],"&gt;="&amp;$B$8,TablaIngresos[Fecha],"&lt;="&amp;$B$6)</f>
        <v>0</v>
      </c>
      <c r="F32" s="9"/>
      <c r="G32" s="41" t="str">
        <v>Gastos Administrativos</v>
      </c>
      <c r="H32" s="43">
        <f>SUMIFS(TablaEgreso[Egreso sin C.F.],TablaEgreso[Categoría],G32,TablaEgreso[Fecha],"&gt;="&amp;$B$8,TablaEgreso[Fecha],"&lt;="&amp;$B$6)</f>
        <v>0</v>
      </c>
      <c r="I32" s="43">
        <f>SUMIFS(TablaEgreso[Total Crédito Fiscal],TablaEgreso[Categoría],G32,TablaEgreso[Fecha],"&gt;="&amp;$B$8,TablaEgreso[Fecha],"&lt;="&amp;$B$6)</f>
        <v>0</v>
      </c>
      <c r="J32" s="44">
        <f>SUMIFS(TablaEgreso[Egreso Total],TablaEgreso[Categoría],G32,TablaEgreso[Fecha],"&gt;="&amp;$B$8,TablaEgreso[Fecha],"&lt;="&amp;$B$6)</f>
        <v>0</v>
      </c>
    </row>
    <row r="33" spans="2:10" ht="20.100000000000001" customHeight="1" x14ac:dyDescent="0.25">
      <c r="B33" s="40" t="e">
        <v>#N/A</v>
      </c>
      <c r="C33" s="46">
        <f>SUMIFS(TablaIngresos[Ingreso],TablaIngresos[Categoría],B33,TablaIngresos[Fecha],"&gt;="&amp;$B$8,TablaIngresos[Fecha],"&lt;="&amp;$B$6)</f>
        <v>0</v>
      </c>
      <c r="D33" s="46">
        <f>SUMIFS(TablaIngresos[Total Impuesto],TablaIngresos[Categoría],B33,TablaIngresos[Fecha],"&gt;="&amp;$B$8,TablaIngresos[Fecha],"&lt;="&amp;$B$6)</f>
        <v>0</v>
      </c>
      <c r="E33" s="47">
        <f>SUMIFS(TablaIngresos[Ingreso Neto],TablaIngresos[Categoría],B33,TablaIngresos[Fecha],"&gt;="&amp;$B$8,TablaIngresos[Fecha],"&lt;="&amp;$B$6)</f>
        <v>0</v>
      </c>
      <c r="F33" s="9"/>
      <c r="G33" s="41" t="str">
        <v>Gastos Bancarios</v>
      </c>
      <c r="H33" s="43">
        <f>SUMIFS(TablaEgreso[Egreso sin C.F.],TablaEgreso[Categoría],G33,TablaEgreso[Fecha],"&gt;="&amp;$B$8,TablaEgreso[Fecha],"&lt;="&amp;$B$6)</f>
        <v>0</v>
      </c>
      <c r="I33" s="43">
        <f>SUMIFS(TablaEgreso[Total Crédito Fiscal],TablaEgreso[Categoría],G33,TablaEgreso[Fecha],"&gt;="&amp;$B$8,TablaEgreso[Fecha],"&lt;="&amp;$B$6)</f>
        <v>0</v>
      </c>
      <c r="J33" s="44">
        <f>SUMIFS(TablaEgreso[Egreso Total],TablaEgreso[Categoría],G33,TablaEgreso[Fecha],"&gt;="&amp;$B$8,TablaEgreso[Fecha],"&lt;="&amp;$B$6)</f>
        <v>0</v>
      </c>
    </row>
    <row r="34" spans="2:10" ht="20.100000000000001" customHeight="1" x14ac:dyDescent="0.25">
      <c r="B34" s="40" t="e">
        <v>#N/A</v>
      </c>
      <c r="C34" s="46">
        <f>SUMIFS(TablaIngresos[Ingreso],TablaIngresos[Categoría],B34,TablaIngresos[Fecha],"&gt;="&amp;$B$8,TablaIngresos[Fecha],"&lt;="&amp;$B$6)</f>
        <v>0</v>
      </c>
      <c r="D34" s="46">
        <f>SUMIFS(TablaIngresos[Total Impuesto],TablaIngresos[Categoría],B34,TablaIngresos[Fecha],"&gt;="&amp;$B$8,TablaIngresos[Fecha],"&lt;="&amp;$B$6)</f>
        <v>0</v>
      </c>
      <c r="E34" s="47">
        <f>SUMIFS(TablaIngresos[Ingreso Neto],TablaIngresos[Categoría],B34,TablaIngresos[Fecha],"&gt;="&amp;$B$8,TablaIngresos[Fecha],"&lt;="&amp;$B$6)</f>
        <v>0</v>
      </c>
      <c r="F34" s="9"/>
      <c r="G34" s="41" t="str">
        <v>Higiene y Seguridad</v>
      </c>
      <c r="H34" s="43">
        <f>SUMIFS(TablaEgreso[Egreso sin C.F.],TablaEgreso[Categoría],G34,TablaEgreso[Fecha],"&gt;="&amp;$B$8,TablaEgreso[Fecha],"&lt;="&amp;$B$6)</f>
        <v>0</v>
      </c>
      <c r="I34" s="43">
        <f>SUMIFS(TablaEgreso[Total Crédito Fiscal],TablaEgreso[Categoría],G34,TablaEgreso[Fecha],"&gt;="&amp;$B$8,TablaEgreso[Fecha],"&lt;="&amp;$B$6)</f>
        <v>0</v>
      </c>
      <c r="J34" s="44">
        <f>SUMIFS(TablaEgreso[Egreso Total],TablaEgreso[Categoría],G34,TablaEgreso[Fecha],"&gt;="&amp;$B$8,TablaEgreso[Fecha],"&lt;="&amp;$B$6)</f>
        <v>0</v>
      </c>
    </row>
    <row r="35" spans="2:10" ht="20.100000000000001" customHeight="1" x14ac:dyDescent="0.25">
      <c r="B35" s="40" t="e">
        <v>#N/A</v>
      </c>
      <c r="C35" s="46">
        <f>SUMIFS(TablaIngresos[Ingreso],TablaIngresos[Categoría],B35,TablaIngresos[Fecha],"&gt;="&amp;$B$8,TablaIngresos[Fecha],"&lt;="&amp;$B$6)</f>
        <v>0</v>
      </c>
      <c r="D35" s="46">
        <f>SUMIFS(TablaIngresos[Total Impuesto],TablaIngresos[Categoría],B35,TablaIngresos[Fecha],"&gt;="&amp;$B$8,TablaIngresos[Fecha],"&lt;="&amp;$B$6)</f>
        <v>0</v>
      </c>
      <c r="E35" s="47">
        <f>SUMIFS(TablaIngresos[Ingreso Neto],TablaIngresos[Categoría],B35,TablaIngresos[Fecha],"&gt;="&amp;$B$8,TablaIngresos[Fecha],"&lt;="&amp;$B$6)</f>
        <v>0</v>
      </c>
      <c r="F35" s="9"/>
      <c r="G35" s="41" t="str">
        <v>Honorarios Profesionales</v>
      </c>
      <c r="H35" s="43">
        <f>SUMIFS(TablaEgreso[Egreso sin C.F.],TablaEgreso[Categoría],G35,TablaEgreso[Fecha],"&gt;="&amp;$B$8,TablaEgreso[Fecha],"&lt;="&amp;$B$6)</f>
        <v>0</v>
      </c>
      <c r="I35" s="43">
        <f>SUMIFS(TablaEgreso[Total Crédito Fiscal],TablaEgreso[Categoría],G35,TablaEgreso[Fecha],"&gt;="&amp;$B$8,TablaEgreso[Fecha],"&lt;="&amp;$B$6)</f>
        <v>0</v>
      </c>
      <c r="J35" s="44">
        <f>SUMIFS(TablaEgreso[Egreso Total],TablaEgreso[Categoría],G35,TablaEgreso[Fecha],"&gt;="&amp;$B$8,TablaEgreso[Fecha],"&lt;="&amp;$B$6)</f>
        <v>0</v>
      </c>
    </row>
    <row r="36" spans="2:10" ht="20.100000000000001" customHeight="1" x14ac:dyDescent="0.25">
      <c r="B36" s="40" t="e">
        <v>#N/A</v>
      </c>
      <c r="C36" s="46">
        <f>SUMIFS(TablaIngresos[Ingreso],TablaIngresos[Categoría],B36,TablaIngresos[Fecha],"&gt;="&amp;$B$8,TablaIngresos[Fecha],"&lt;="&amp;$B$6)</f>
        <v>0</v>
      </c>
      <c r="D36" s="46">
        <f>SUMIFS(TablaIngresos[Total Impuesto],TablaIngresos[Categoría],B36,TablaIngresos[Fecha],"&gt;="&amp;$B$8,TablaIngresos[Fecha],"&lt;="&amp;$B$6)</f>
        <v>0</v>
      </c>
      <c r="E36" s="47">
        <f>SUMIFS(TablaIngresos[Ingreso Neto],TablaIngresos[Categoría],B36,TablaIngresos[Fecha],"&gt;="&amp;$B$8,TablaIngresos[Fecha],"&lt;="&amp;$B$6)</f>
        <v>0</v>
      </c>
      <c r="F36" s="9"/>
      <c r="G36" s="41" t="str">
        <v>Indumentaria</v>
      </c>
      <c r="H36" s="43">
        <f>SUMIFS(TablaEgreso[Egreso sin C.F.],TablaEgreso[Categoría],G36,TablaEgreso[Fecha],"&gt;="&amp;$B$8,TablaEgreso[Fecha],"&lt;="&amp;$B$6)</f>
        <v>0</v>
      </c>
      <c r="I36" s="43">
        <f>SUMIFS(TablaEgreso[Total Crédito Fiscal],TablaEgreso[Categoría],G36,TablaEgreso[Fecha],"&gt;="&amp;$B$8,TablaEgreso[Fecha],"&lt;="&amp;$B$6)</f>
        <v>0</v>
      </c>
      <c r="J36" s="44">
        <f>SUMIFS(TablaEgreso[Egreso Total],TablaEgreso[Categoría],G36,TablaEgreso[Fecha],"&gt;="&amp;$B$8,TablaEgreso[Fecha],"&lt;="&amp;$B$6)</f>
        <v>0</v>
      </c>
    </row>
    <row r="37" spans="2:10" ht="20.100000000000001" customHeight="1" x14ac:dyDescent="0.25">
      <c r="B37" s="40" t="e">
        <v>#N/A</v>
      </c>
      <c r="C37" s="46">
        <f>SUMIFS(TablaIngresos[Ingreso],TablaIngresos[Categoría],B37,TablaIngresos[Fecha],"&gt;="&amp;$B$8,TablaIngresos[Fecha],"&lt;="&amp;$B$6)</f>
        <v>0</v>
      </c>
      <c r="D37" s="46">
        <f>SUMIFS(TablaIngresos[Total Impuesto],TablaIngresos[Categoría],B37,TablaIngresos[Fecha],"&gt;="&amp;$B$8,TablaIngresos[Fecha],"&lt;="&amp;$B$6)</f>
        <v>0</v>
      </c>
      <c r="E37" s="47">
        <f>SUMIFS(TablaIngresos[Ingreso Neto],TablaIngresos[Categoría],B37,TablaIngresos[Fecha],"&gt;="&amp;$B$8,TablaIngresos[Fecha],"&lt;="&amp;$B$6)</f>
        <v>0</v>
      </c>
      <c r="F37" s="9"/>
      <c r="G37" s="41" t="str">
        <v>Insumos</v>
      </c>
      <c r="H37" s="43">
        <f>SUMIFS(TablaEgreso[Egreso sin C.F.],TablaEgreso[Categoría],G37,TablaEgreso[Fecha],"&gt;="&amp;$B$8,TablaEgreso[Fecha],"&lt;="&amp;$B$6)</f>
        <v>0</v>
      </c>
      <c r="I37" s="43">
        <f>SUMIFS(TablaEgreso[Total Crédito Fiscal],TablaEgreso[Categoría],G37,TablaEgreso[Fecha],"&gt;="&amp;$B$8,TablaEgreso[Fecha],"&lt;="&amp;$B$6)</f>
        <v>0</v>
      </c>
      <c r="J37" s="44">
        <f>SUMIFS(TablaEgreso[Egreso Total],TablaEgreso[Categoría],G37,TablaEgreso[Fecha],"&gt;="&amp;$B$8,TablaEgreso[Fecha],"&lt;="&amp;$B$6)</f>
        <v>0</v>
      </c>
    </row>
    <row r="38" spans="2:10" ht="20.100000000000001" customHeight="1" x14ac:dyDescent="0.25">
      <c r="B38" s="40" t="e">
        <v>#N/A</v>
      </c>
      <c r="C38" s="46">
        <f>SUMIFS(TablaIngresos[Ingreso],TablaIngresos[Categoría],B38,TablaIngresos[Fecha],"&gt;="&amp;$B$8,TablaIngresos[Fecha],"&lt;="&amp;$B$6)</f>
        <v>0</v>
      </c>
      <c r="D38" s="46">
        <f>SUMIFS(TablaIngresos[Total Impuesto],TablaIngresos[Categoría],B38,TablaIngresos[Fecha],"&gt;="&amp;$B$8,TablaIngresos[Fecha],"&lt;="&amp;$B$6)</f>
        <v>0</v>
      </c>
      <c r="E38" s="47">
        <f>SUMIFS(TablaIngresos[Ingreso Neto],TablaIngresos[Categoría],B38,TablaIngresos[Fecha],"&gt;="&amp;$B$8,TablaIngresos[Fecha],"&lt;="&amp;$B$6)</f>
        <v>0</v>
      </c>
      <c r="F38" s="9"/>
      <c r="G38" s="41" t="str">
        <v>Laboratorio/Medicamentos/Vacunas granja</v>
      </c>
      <c r="H38" s="43">
        <f>SUMIFS(TablaEgreso[Egreso sin C.F.],TablaEgreso[Categoría],G38,TablaEgreso[Fecha],"&gt;="&amp;$B$8,TablaEgreso[Fecha],"&lt;="&amp;$B$6)</f>
        <v>0</v>
      </c>
      <c r="I38" s="43">
        <f>SUMIFS(TablaEgreso[Total Crédito Fiscal],TablaEgreso[Categoría],G38,TablaEgreso[Fecha],"&gt;="&amp;$B$8,TablaEgreso[Fecha],"&lt;="&amp;$B$6)</f>
        <v>0</v>
      </c>
      <c r="J38" s="44">
        <f>SUMIFS(TablaEgreso[Egreso Total],TablaEgreso[Categoría],G38,TablaEgreso[Fecha],"&gt;="&amp;$B$8,TablaEgreso[Fecha],"&lt;="&amp;$B$6)</f>
        <v>0</v>
      </c>
    </row>
    <row r="39" spans="2:10" ht="20.100000000000001" customHeight="1" x14ac:dyDescent="0.25">
      <c r="B39" s="40" t="e">
        <v>#N/A</v>
      </c>
      <c r="C39" s="46">
        <f>SUMIFS(TablaIngresos[Ingreso],TablaIngresos[Categoría],B39,TablaIngresos[Fecha],"&gt;="&amp;$B$8,TablaIngresos[Fecha],"&lt;="&amp;$B$6)</f>
        <v>0</v>
      </c>
      <c r="D39" s="46">
        <f>SUMIFS(TablaIngresos[Total Impuesto],TablaIngresos[Categoría],B39,TablaIngresos[Fecha],"&gt;="&amp;$B$8,TablaIngresos[Fecha],"&lt;="&amp;$B$6)</f>
        <v>0</v>
      </c>
      <c r="E39" s="47">
        <f>SUMIFS(TablaIngresos[Ingreso Neto],TablaIngresos[Categoría],B39,TablaIngresos[Fecha],"&gt;="&amp;$B$8,TablaIngresos[Fecha],"&lt;="&amp;$B$6)</f>
        <v>0</v>
      </c>
      <c r="F39" s="9"/>
      <c r="G39" s="41" t="str">
        <v>Librería</v>
      </c>
      <c r="H39" s="43">
        <f>SUMIFS(TablaEgreso[Egreso sin C.F.],TablaEgreso[Categoría],G39,TablaEgreso[Fecha],"&gt;="&amp;$B$8,TablaEgreso[Fecha],"&lt;="&amp;$B$6)</f>
        <v>0</v>
      </c>
      <c r="I39" s="43">
        <f>SUMIFS(TablaEgreso[Total Crédito Fiscal],TablaEgreso[Categoría],G39,TablaEgreso[Fecha],"&gt;="&amp;$B$8,TablaEgreso[Fecha],"&lt;="&amp;$B$6)</f>
        <v>0</v>
      </c>
      <c r="J39" s="44">
        <f>SUMIFS(TablaEgreso[Egreso Total],TablaEgreso[Categoría],G39,TablaEgreso[Fecha],"&gt;="&amp;$B$8,TablaEgreso[Fecha],"&lt;="&amp;$B$6)</f>
        <v>0</v>
      </c>
    </row>
    <row r="40" spans="2:10" ht="20.100000000000001" customHeight="1" x14ac:dyDescent="0.25">
      <c r="B40" s="40" t="e">
        <v>#N/A</v>
      </c>
      <c r="C40" s="46">
        <f>SUMIFS(TablaIngresos[Ingreso],TablaIngresos[Categoría],B40,TablaIngresos[Fecha],"&gt;="&amp;$B$8,TablaIngresos[Fecha],"&lt;="&amp;$B$6)</f>
        <v>0</v>
      </c>
      <c r="D40" s="46">
        <f>SUMIFS(TablaIngresos[Total Impuesto],TablaIngresos[Categoría],B40,TablaIngresos[Fecha],"&gt;="&amp;$B$8,TablaIngresos[Fecha],"&lt;="&amp;$B$6)</f>
        <v>0</v>
      </c>
      <c r="E40" s="47">
        <f>SUMIFS(TablaIngresos[Ingreso Neto],TablaIngresos[Categoría],B40,TablaIngresos[Fecha],"&gt;="&amp;$B$8,TablaIngresos[Fecha],"&lt;="&amp;$B$6)</f>
        <v>0</v>
      </c>
      <c r="F40" s="9"/>
      <c r="G40" s="41" t="str">
        <v>Limpieza</v>
      </c>
      <c r="H40" s="43">
        <f>SUMIFS(TablaEgreso[Egreso sin C.F.],TablaEgreso[Categoría],G40,TablaEgreso[Fecha],"&gt;="&amp;$B$8,TablaEgreso[Fecha],"&lt;="&amp;$B$6)</f>
        <v>0</v>
      </c>
      <c r="I40" s="43">
        <f>SUMIFS(TablaEgreso[Total Crédito Fiscal],TablaEgreso[Categoría],G40,TablaEgreso[Fecha],"&gt;="&amp;$B$8,TablaEgreso[Fecha],"&lt;="&amp;$B$6)</f>
        <v>0</v>
      </c>
      <c r="J40" s="44">
        <f>SUMIFS(TablaEgreso[Egreso Total],TablaEgreso[Categoría],G40,TablaEgreso[Fecha],"&gt;="&amp;$B$8,TablaEgreso[Fecha],"&lt;="&amp;$B$6)</f>
        <v>0</v>
      </c>
    </row>
    <row r="41" spans="2:10" ht="20.100000000000001" customHeight="1" x14ac:dyDescent="0.25">
      <c r="B41" s="40" t="e">
        <v>#N/A</v>
      </c>
      <c r="C41" s="46">
        <f>SUMIFS(TablaIngresos[Ingreso],TablaIngresos[Categoría],B41,TablaIngresos[Fecha],"&gt;="&amp;$B$8,TablaIngresos[Fecha],"&lt;="&amp;$B$6)</f>
        <v>0</v>
      </c>
      <c r="D41" s="46">
        <f>SUMIFS(TablaIngresos[Total Impuesto],TablaIngresos[Categoría],B41,TablaIngresos[Fecha],"&gt;="&amp;$B$8,TablaIngresos[Fecha],"&lt;="&amp;$B$6)</f>
        <v>0</v>
      </c>
      <c r="E41" s="47">
        <f>SUMIFS(TablaIngresos[Ingreso Neto],TablaIngresos[Categoría],B41,TablaIngresos[Fecha],"&gt;="&amp;$B$8,TablaIngresos[Fecha],"&lt;="&amp;$B$6)</f>
        <v>0</v>
      </c>
      <c r="F41" s="9"/>
      <c r="G41" s="41" t="str">
        <v>Mano de obra/Contratista</v>
      </c>
      <c r="H41" s="43">
        <f>SUMIFS(TablaEgreso[Egreso sin C.F.],TablaEgreso[Categoría],G41,TablaEgreso[Fecha],"&gt;="&amp;$B$8,TablaEgreso[Fecha],"&lt;="&amp;$B$6)</f>
        <v>0</v>
      </c>
      <c r="I41" s="43">
        <f>SUMIFS(TablaEgreso[Total Crédito Fiscal],TablaEgreso[Categoría],G41,TablaEgreso[Fecha],"&gt;="&amp;$B$8,TablaEgreso[Fecha],"&lt;="&amp;$B$6)</f>
        <v>0</v>
      </c>
      <c r="J41" s="44">
        <f>SUMIFS(TablaEgreso[Egreso Total],TablaEgreso[Categoría],G41,TablaEgreso[Fecha],"&gt;="&amp;$B$8,TablaEgreso[Fecha],"&lt;="&amp;$B$6)</f>
        <v>0</v>
      </c>
    </row>
    <row r="42" spans="2:10" ht="20.100000000000001" customHeight="1" x14ac:dyDescent="0.25">
      <c r="B42" s="40" t="e">
        <v>#N/A</v>
      </c>
      <c r="C42" s="46">
        <f>SUMIFS(TablaIngresos[Ingreso],TablaIngresos[Categoría],B42,TablaIngresos[Fecha],"&gt;="&amp;$B$8,TablaIngresos[Fecha],"&lt;="&amp;$B$6)</f>
        <v>0</v>
      </c>
      <c r="D42" s="46">
        <f>SUMIFS(TablaIngresos[Total Impuesto],TablaIngresos[Categoría],B42,TablaIngresos[Fecha],"&gt;="&amp;$B$8,TablaIngresos[Fecha],"&lt;="&amp;$B$6)</f>
        <v>0</v>
      </c>
      <c r="E42" s="47">
        <f>SUMIFS(TablaIngresos[Ingreso Neto],TablaIngresos[Categoría],B42,TablaIngresos[Fecha],"&gt;="&amp;$B$8,TablaIngresos[Fecha],"&lt;="&amp;$B$6)</f>
        <v>0</v>
      </c>
      <c r="F42" s="9"/>
      <c r="G42" s="41" t="str">
        <v>Mantenimiento vehículos</v>
      </c>
      <c r="H42" s="43">
        <f>SUMIFS(TablaEgreso[Egreso sin C.F.],TablaEgreso[Categoría],G42,TablaEgreso[Fecha],"&gt;="&amp;$B$8,TablaEgreso[Fecha],"&lt;="&amp;$B$6)</f>
        <v>0</v>
      </c>
      <c r="I42" s="43">
        <f>SUMIFS(TablaEgreso[Total Crédito Fiscal],TablaEgreso[Categoría],G42,TablaEgreso[Fecha],"&gt;="&amp;$B$8,TablaEgreso[Fecha],"&lt;="&amp;$B$6)</f>
        <v>0</v>
      </c>
      <c r="J42" s="44">
        <f>SUMIFS(TablaEgreso[Egreso Total],TablaEgreso[Categoría],G42,TablaEgreso[Fecha],"&gt;="&amp;$B$8,TablaEgreso[Fecha],"&lt;="&amp;$B$6)</f>
        <v>0</v>
      </c>
    </row>
    <row r="43" spans="2:10" ht="20.100000000000001" customHeight="1" x14ac:dyDescent="0.25">
      <c r="B43" s="40" t="e">
        <v>#N/A</v>
      </c>
      <c r="C43" s="46">
        <f>SUMIFS(TablaIngresos[Ingreso],TablaIngresos[Categoría],B43,TablaIngresos[Fecha],"&gt;="&amp;$B$8,TablaIngresos[Fecha],"&lt;="&amp;$B$6)</f>
        <v>0</v>
      </c>
      <c r="D43" s="46">
        <f>SUMIFS(TablaIngresos[Total Impuesto],TablaIngresos[Categoría],B43,TablaIngresos[Fecha],"&gt;="&amp;$B$8,TablaIngresos[Fecha],"&lt;="&amp;$B$6)</f>
        <v>0</v>
      </c>
      <c r="E43" s="47">
        <f>SUMIFS(TablaIngresos[Ingreso Neto],TablaIngresos[Categoría],B43,TablaIngresos[Fecha],"&gt;="&amp;$B$8,TablaIngresos[Fecha],"&lt;="&amp;$B$6)</f>
        <v>0</v>
      </c>
      <c r="F43" s="9"/>
      <c r="G43" s="41" t="str">
        <v>Maquinas/Herramientas</v>
      </c>
      <c r="H43" s="43">
        <f>SUMIFS(TablaEgreso[Egreso sin C.F.],TablaEgreso[Categoría],G43,TablaEgreso[Fecha],"&gt;="&amp;$B$8,TablaEgreso[Fecha],"&lt;="&amp;$B$6)</f>
        <v>0</v>
      </c>
      <c r="I43" s="43">
        <f>SUMIFS(TablaEgreso[Total Crédito Fiscal],TablaEgreso[Categoría],G43,TablaEgreso[Fecha],"&gt;="&amp;$B$8,TablaEgreso[Fecha],"&lt;="&amp;$B$6)</f>
        <v>0</v>
      </c>
      <c r="J43" s="44">
        <f>SUMIFS(TablaEgreso[Egreso Total],TablaEgreso[Categoría],G43,TablaEgreso[Fecha],"&gt;="&amp;$B$8,TablaEgreso[Fecha],"&lt;="&amp;$B$6)</f>
        <v>0</v>
      </c>
    </row>
    <row r="44" spans="2:10" ht="20.100000000000001" customHeight="1" x14ac:dyDescent="0.25">
      <c r="B44" s="40" t="e">
        <v>#N/A</v>
      </c>
      <c r="C44" s="46">
        <f>SUMIFS(TablaIngresos[Ingreso],TablaIngresos[Categoría],B44,TablaIngresos[Fecha],"&gt;="&amp;$B$8,TablaIngresos[Fecha],"&lt;="&amp;$B$6)</f>
        <v>0</v>
      </c>
      <c r="D44" s="46">
        <f>SUMIFS(TablaIngresos[Total Impuesto],TablaIngresos[Categoría],B44,TablaIngresos[Fecha],"&gt;="&amp;$B$8,TablaIngresos[Fecha],"&lt;="&amp;$B$6)</f>
        <v>0</v>
      </c>
      <c r="E44" s="47">
        <f>SUMIFS(TablaIngresos[Ingreso Neto],TablaIngresos[Categoría],B44,TablaIngresos[Fecha],"&gt;="&amp;$B$8,TablaIngresos[Fecha],"&lt;="&amp;$B$6)</f>
        <v>0</v>
      </c>
      <c r="F44" s="9"/>
      <c r="G44" s="41" t="str">
        <v>Matadero</v>
      </c>
      <c r="H44" s="43">
        <f>SUMIFS(TablaEgreso[Egreso sin C.F.],TablaEgreso[Categoría],G44,TablaEgreso[Fecha],"&gt;="&amp;$B$8,TablaEgreso[Fecha],"&lt;="&amp;$B$6)</f>
        <v>0</v>
      </c>
      <c r="I44" s="43">
        <f>SUMIFS(TablaEgreso[Total Crédito Fiscal],TablaEgreso[Categoría],G44,TablaEgreso[Fecha],"&gt;="&amp;$B$8,TablaEgreso[Fecha],"&lt;="&amp;$B$6)</f>
        <v>0</v>
      </c>
      <c r="J44" s="44">
        <f>SUMIFS(TablaEgreso[Egreso Total],TablaEgreso[Categoría],G44,TablaEgreso[Fecha],"&gt;="&amp;$B$8,TablaEgreso[Fecha],"&lt;="&amp;$B$6)</f>
        <v>0</v>
      </c>
    </row>
    <row r="45" spans="2:10" ht="20.100000000000001" customHeight="1" x14ac:dyDescent="0.25">
      <c r="B45" s="40" t="e">
        <v>#N/A</v>
      </c>
      <c r="C45" s="46">
        <f>SUMIFS(TablaIngresos[Ingreso],TablaIngresos[Categoría],B45,TablaIngresos[Fecha],"&gt;="&amp;$B$8,TablaIngresos[Fecha],"&lt;="&amp;$B$6)</f>
        <v>0</v>
      </c>
      <c r="D45" s="46">
        <f>SUMIFS(TablaIngresos[Total Impuesto],TablaIngresos[Categoría],B45,TablaIngresos[Fecha],"&gt;="&amp;$B$8,TablaIngresos[Fecha],"&lt;="&amp;$B$6)</f>
        <v>0</v>
      </c>
      <c r="E45" s="47">
        <f>SUMIFS(TablaIngresos[Ingreso Neto],TablaIngresos[Categoría],B45,TablaIngresos[Fecha],"&gt;="&amp;$B$8,TablaIngresos[Fecha],"&lt;="&amp;$B$6)</f>
        <v>0</v>
      </c>
      <c r="F45" s="9"/>
      <c r="G45" s="41" t="str">
        <v>Material de construcción</v>
      </c>
      <c r="H45" s="43">
        <f>SUMIFS(TablaEgreso[Egreso sin C.F.],TablaEgreso[Categoría],G45,TablaEgreso[Fecha],"&gt;="&amp;$B$8,TablaEgreso[Fecha],"&lt;="&amp;$B$6)</f>
        <v>0</v>
      </c>
      <c r="I45" s="43">
        <f>SUMIFS(TablaEgreso[Total Crédito Fiscal],TablaEgreso[Categoría],G45,TablaEgreso[Fecha],"&gt;="&amp;$B$8,TablaEgreso[Fecha],"&lt;="&amp;$B$6)</f>
        <v>0</v>
      </c>
      <c r="J45" s="44">
        <f>SUMIFS(TablaEgreso[Egreso Total],TablaEgreso[Categoría],G45,TablaEgreso[Fecha],"&gt;="&amp;$B$8,TablaEgreso[Fecha],"&lt;="&amp;$B$6)</f>
        <v>0</v>
      </c>
    </row>
    <row r="46" spans="2:10" s="9" customFormat="1" ht="20.100000000000001" customHeight="1" x14ac:dyDescent="0.25">
      <c r="B46" s="57"/>
      <c r="G46" s="41" t="str">
        <f t="array" ref="G46">Configuración!E35:E69</f>
        <v>Mercadería para la venta</v>
      </c>
      <c r="H46" s="43">
        <f>SUMIFS(TablaEgreso[Egreso sin C.F.],TablaEgreso[Categoría],G46,TablaEgreso[Fecha],"&gt;="&amp;$B$8,TablaEgreso[Fecha],"&lt;="&amp;$B$6)</f>
        <v>0</v>
      </c>
      <c r="I46" s="43">
        <f>SUMIFS(TablaEgreso[Total Crédito Fiscal],TablaEgreso[Categoría],G46,TablaEgreso[Fecha],"&gt;="&amp;$B$8,TablaEgreso[Fecha],"&lt;="&amp;$B$6)</f>
        <v>0</v>
      </c>
      <c r="J46" s="44">
        <f>SUMIFS(TablaEgreso[Egreso Total],TablaEgreso[Categoría],G46,TablaEgreso[Fecha],"&gt;="&amp;$B$8,TablaEgreso[Fecha],"&lt;="&amp;$B$6)</f>
        <v>0</v>
      </c>
    </row>
    <row r="47" spans="2:10" s="9" customFormat="1" ht="20.100000000000001" customHeight="1" x14ac:dyDescent="0.25">
      <c r="G47" s="41" t="str">
        <f t="array" ref="G47">Configuración!E36:E70</f>
        <v>Publicidad</v>
      </c>
      <c r="H47" s="43">
        <f>SUMIFS(TablaEgreso[Egreso sin C.F.],TablaEgreso[Categoría],G47,TablaEgreso[Fecha],"&gt;="&amp;$B$8,TablaEgreso[Fecha],"&lt;="&amp;$B$6)</f>
        <v>0</v>
      </c>
      <c r="I47" s="43">
        <f>SUMIFS(TablaEgreso[Total Crédito Fiscal],TablaEgreso[Categoría],G47,TablaEgreso[Fecha],"&gt;="&amp;$B$8,TablaEgreso[Fecha],"&lt;="&amp;$B$6)</f>
        <v>0</v>
      </c>
      <c r="J47" s="44">
        <f>SUMIFS(TablaEgreso[Egreso Total],TablaEgreso[Categoría],G47,TablaEgreso[Fecha],"&gt;="&amp;$B$8,TablaEgreso[Fecha],"&lt;="&amp;$B$6)</f>
        <v>0</v>
      </c>
    </row>
    <row r="48" spans="2:10" s="9" customFormat="1" ht="20.100000000000001" customHeight="1" x14ac:dyDescent="0.25">
      <c r="G48" s="41" t="str">
        <f t="array" ref="G48">Configuración!E37:E71</f>
        <v>Retiro</v>
      </c>
      <c r="H48" s="43">
        <f>SUMIFS(TablaEgreso[Egreso sin C.F.],TablaEgreso[Categoría],G48,TablaEgreso[Fecha],"&gt;="&amp;$B$8,TablaEgreso[Fecha],"&lt;="&amp;$B$6)</f>
        <v>0</v>
      </c>
      <c r="I48" s="43">
        <f>SUMIFS(TablaEgreso[Total Crédito Fiscal],TablaEgreso[Categoría],G48,TablaEgreso[Fecha],"&gt;="&amp;$B$8,TablaEgreso[Fecha],"&lt;="&amp;$B$6)</f>
        <v>0</v>
      </c>
      <c r="J48" s="44">
        <f>SUMIFS(TablaEgreso[Egreso Total],TablaEgreso[Categoría],G48,TablaEgreso[Fecha],"&gt;="&amp;$B$8,TablaEgreso[Fecha],"&lt;="&amp;$B$6)</f>
        <v>0</v>
      </c>
    </row>
    <row r="49" spans="7:10" s="9" customFormat="1" ht="20.100000000000001" customHeight="1" x14ac:dyDescent="0.25">
      <c r="G49" s="41" t="str">
        <f t="array" ref="G49">Configuración!E38:E72</f>
        <v>Seguros</v>
      </c>
      <c r="H49" s="43">
        <f>SUMIFS(TablaEgreso[Egreso sin C.F.],TablaEgreso[Categoría],G49,TablaEgreso[Fecha],"&gt;="&amp;$B$8,TablaEgreso[Fecha],"&lt;="&amp;$B$6)</f>
        <v>0</v>
      </c>
      <c r="I49" s="43">
        <f>SUMIFS(TablaEgreso[Total Crédito Fiscal],TablaEgreso[Categoría],G49,TablaEgreso[Fecha],"&gt;="&amp;$B$8,TablaEgreso[Fecha],"&lt;="&amp;$B$6)</f>
        <v>0</v>
      </c>
      <c r="J49" s="44">
        <f>SUMIFS(TablaEgreso[Egreso Total],TablaEgreso[Categoría],G49,TablaEgreso[Fecha],"&gt;="&amp;$B$8,TablaEgreso[Fecha],"&lt;="&amp;$B$6)</f>
        <v>0</v>
      </c>
    </row>
    <row r="50" spans="7:10" s="9" customFormat="1" ht="20.100000000000001" customHeight="1" x14ac:dyDescent="0.25">
      <c r="G50" s="41" t="str">
        <f t="array" ref="G50">Configuración!E39:E73</f>
        <v>Servicio Técnico</v>
      </c>
      <c r="H50" s="43">
        <f>SUMIFS(TablaEgreso[Egreso sin C.F.],TablaEgreso[Categoría],G50,TablaEgreso[Fecha],"&gt;="&amp;$B$8,TablaEgreso[Fecha],"&lt;="&amp;$B$6)</f>
        <v>0</v>
      </c>
      <c r="I50" s="43">
        <f>SUMIFS(TablaEgreso[Total Crédito Fiscal],TablaEgreso[Categoría],G50,TablaEgreso[Fecha],"&gt;="&amp;$B$8,TablaEgreso[Fecha],"&lt;="&amp;$B$6)</f>
        <v>0</v>
      </c>
      <c r="J50" s="44">
        <f>SUMIFS(TablaEgreso[Egreso Total],TablaEgreso[Categoría],G50,TablaEgreso[Fecha],"&gt;="&amp;$B$8,TablaEgreso[Fecha],"&lt;="&amp;$B$6)</f>
        <v>0</v>
      </c>
    </row>
    <row r="51" spans="7:10" s="9" customFormat="1" ht="20.100000000000001" customHeight="1" x14ac:dyDescent="0.25">
      <c r="G51" s="41" t="str">
        <f t="array" ref="G51">Configuración!E40:E74</f>
        <v>Servicios e Impuestos</v>
      </c>
      <c r="H51" s="43">
        <f>SUMIFS(TablaEgreso[Egreso sin C.F.],TablaEgreso[Categoría],G51,TablaEgreso[Fecha],"&gt;="&amp;$B$8,TablaEgreso[Fecha],"&lt;="&amp;$B$6)</f>
        <v>0</v>
      </c>
      <c r="I51" s="43">
        <f>SUMIFS(TablaEgreso[Total Crédito Fiscal],TablaEgreso[Categoría],G51,TablaEgreso[Fecha],"&gt;="&amp;$B$8,TablaEgreso[Fecha],"&lt;="&amp;$B$6)</f>
        <v>0</v>
      </c>
      <c r="J51" s="44">
        <f>SUMIFS(TablaEgreso[Egreso Total],TablaEgreso[Categoría],G51,TablaEgreso[Fecha],"&gt;="&amp;$B$8,TablaEgreso[Fecha],"&lt;="&amp;$B$6)</f>
        <v>0</v>
      </c>
    </row>
    <row r="52" spans="7:10" s="9" customFormat="1" ht="20.100000000000001" customHeight="1" x14ac:dyDescent="0.25">
      <c r="G52" s="41" t="str">
        <f t="array" ref="G52">Configuración!E41:E75</f>
        <v>Sindicatos</v>
      </c>
      <c r="H52" s="43">
        <f>SUMIFS(TablaEgreso[Egreso sin C.F.],TablaEgreso[Categoría],G52,TablaEgreso[Fecha],"&gt;="&amp;$B$8,TablaEgreso[Fecha],"&lt;="&amp;$B$6)</f>
        <v>0</v>
      </c>
      <c r="I52" s="43">
        <f>SUMIFS(TablaEgreso[Total Crédito Fiscal],TablaEgreso[Categoría],G52,TablaEgreso[Fecha],"&gt;="&amp;$B$8,TablaEgreso[Fecha],"&lt;="&amp;$B$6)</f>
        <v>0</v>
      </c>
      <c r="J52" s="44">
        <f>SUMIFS(TablaEgreso[Egreso Total],TablaEgreso[Categoría],G52,TablaEgreso[Fecha],"&gt;="&amp;$B$8,TablaEgreso[Fecha],"&lt;="&amp;$B$6)</f>
        <v>0</v>
      </c>
    </row>
    <row r="53" spans="7:10" s="9" customFormat="1" ht="20.100000000000001" customHeight="1" x14ac:dyDescent="0.25">
      <c r="G53" s="41" t="str">
        <f t="array" ref="G53">Configuración!E42:E76</f>
        <v>Stopcar</v>
      </c>
      <c r="H53" s="43">
        <f>SUMIFS(TablaEgreso[Egreso sin C.F.],TablaEgreso[Categoría],G53,TablaEgreso[Fecha],"&gt;="&amp;$B$8,TablaEgreso[Fecha],"&lt;="&amp;$B$6)</f>
        <v>0</v>
      </c>
      <c r="I53" s="43">
        <f>SUMIFS(TablaEgreso[Total Crédito Fiscal],TablaEgreso[Categoría],G53,TablaEgreso[Fecha],"&gt;="&amp;$B$8,TablaEgreso[Fecha],"&lt;="&amp;$B$6)</f>
        <v>0</v>
      </c>
      <c r="J53" s="44">
        <f>SUMIFS(TablaEgreso[Egreso Total],TablaEgreso[Categoría],G53,TablaEgreso[Fecha],"&gt;="&amp;$B$8,TablaEgreso[Fecha],"&lt;="&amp;$B$6)</f>
        <v>0</v>
      </c>
    </row>
    <row r="54" spans="7:10" s="9" customFormat="1" ht="20.100000000000001" customHeight="1" x14ac:dyDescent="0.25">
      <c r="G54" s="41" t="str">
        <f t="array" ref="G54">Configuración!E43:E77</f>
        <v>Sueldos</v>
      </c>
      <c r="H54" s="43">
        <f>SUMIFS(TablaEgreso[Egreso sin C.F.],TablaEgreso[Categoría],G54,TablaEgreso[Fecha],"&gt;="&amp;$B$8,TablaEgreso[Fecha],"&lt;="&amp;$B$6)</f>
        <v>0</v>
      </c>
      <c r="I54" s="43">
        <f>SUMIFS(TablaEgreso[Total Crédito Fiscal],TablaEgreso[Categoría],G54,TablaEgreso[Fecha],"&gt;="&amp;$B$8,TablaEgreso[Fecha],"&lt;="&amp;$B$6)</f>
        <v>0</v>
      </c>
      <c r="J54" s="44">
        <f>SUMIFS(TablaEgreso[Egreso Total],TablaEgreso[Categoría],G54,TablaEgreso[Fecha],"&gt;="&amp;$B$8,TablaEgreso[Fecha],"&lt;="&amp;$B$6)</f>
        <v>0</v>
      </c>
    </row>
    <row r="55" spans="7:10" s="9" customFormat="1" ht="20.100000000000001" customHeight="1" x14ac:dyDescent="0.25">
      <c r="G55" s="41" t="str">
        <f t="array" ref="G55">Configuración!E44:E78</f>
        <v>Transporte/Encomienda</v>
      </c>
      <c r="H55" s="43">
        <f>SUMIFS(TablaEgreso[Egreso sin C.F.],TablaEgreso[Categoría],G55,TablaEgreso[Fecha],"&gt;="&amp;$B$8,TablaEgreso[Fecha],"&lt;="&amp;$B$6)</f>
        <v>0</v>
      </c>
      <c r="I55" s="43">
        <f>SUMIFS(TablaEgreso[Total Crédito Fiscal],TablaEgreso[Categoría],G55,TablaEgreso[Fecha],"&gt;="&amp;$B$8,TablaEgreso[Fecha],"&lt;="&amp;$B$6)</f>
        <v>0</v>
      </c>
      <c r="J55" s="44">
        <f>SUMIFS(TablaEgreso[Egreso Total],TablaEgreso[Categoría],G55,TablaEgreso[Fecha],"&gt;="&amp;$B$8,TablaEgreso[Fecha],"&lt;="&amp;$B$6)</f>
        <v>0</v>
      </c>
    </row>
    <row r="56" spans="7:10" s="9" customFormat="1" ht="20.100000000000001" customHeight="1" x14ac:dyDescent="0.25"/>
    <row r="57" spans="7:10" s="9" customFormat="1" ht="20.100000000000001" customHeight="1" x14ac:dyDescent="0.25"/>
    <row r="58" spans="7:10" s="9" customFormat="1" ht="20.100000000000001" customHeight="1" x14ac:dyDescent="0.25"/>
    <row r="59" spans="7:10" s="9" customFormat="1" ht="20.100000000000001" customHeight="1" x14ac:dyDescent="0.25"/>
    <row r="60" spans="7:10" s="9" customFormat="1" ht="20.100000000000001" customHeight="1" x14ac:dyDescent="0.25"/>
    <row r="61" spans="7:10" s="9" customFormat="1" ht="20.100000000000001" customHeight="1" x14ac:dyDescent="0.25"/>
    <row r="62" spans="7:10" s="9" customFormat="1" ht="20.100000000000001" customHeight="1" x14ac:dyDescent="0.25"/>
    <row r="63" spans="7:10" s="9" customFormat="1" ht="20.100000000000001" customHeight="1" x14ac:dyDescent="0.25"/>
    <row r="64" spans="7:10" s="9" customFormat="1" ht="20.100000000000001" customHeight="1" x14ac:dyDescent="0.25"/>
    <row r="65" spans="7:10" s="9" customFormat="1" ht="20.100000000000001" customHeight="1" x14ac:dyDescent="0.25"/>
    <row r="66" spans="7:10" s="9" customFormat="1" ht="20.100000000000001" customHeight="1" x14ac:dyDescent="0.25"/>
    <row r="67" spans="7:10" s="9" customFormat="1" ht="20.100000000000001" customHeight="1" x14ac:dyDescent="0.25"/>
    <row r="68" spans="7:10" s="9" customFormat="1" ht="20.100000000000001" customHeight="1" x14ac:dyDescent="0.25"/>
    <row r="69" spans="7:10" s="9" customFormat="1" ht="20.100000000000001" customHeight="1" x14ac:dyDescent="0.25"/>
    <row r="70" spans="7:10" s="9" customFormat="1" ht="20.100000000000001" customHeight="1" x14ac:dyDescent="0.25"/>
    <row r="71" spans="7:10" s="9" customFormat="1" ht="20.100000000000001" customHeight="1" x14ac:dyDescent="0.25"/>
    <row r="72" spans="7:10" s="9" customFormat="1" ht="20.100000000000001" customHeight="1" x14ac:dyDescent="0.25"/>
    <row r="73" spans="7:10" s="9" customFormat="1" ht="20.100000000000001" customHeight="1" x14ac:dyDescent="0.25"/>
    <row r="74" spans="7:10" s="9" customFormat="1" ht="20.100000000000001" customHeight="1" x14ac:dyDescent="0.25"/>
    <row r="75" spans="7:10" s="9" customFormat="1" ht="20.100000000000001" customHeight="1" x14ac:dyDescent="0.25"/>
    <row r="76" spans="7:10" s="9" customFormat="1" ht="20.100000000000001" customHeight="1" x14ac:dyDescent="0.25"/>
    <row r="77" spans="7:10" s="9" customFormat="1" ht="20.100000000000001" customHeight="1" x14ac:dyDescent="0.25"/>
    <row r="78" spans="7:10" s="9" customFormat="1" ht="20.100000000000001" customHeight="1" x14ac:dyDescent="0.25"/>
    <row r="79" spans="7:10" s="9" customFormat="1" ht="20.100000000000001" customHeight="1" x14ac:dyDescent="0.25">
      <c r="G79" s="1"/>
      <c r="H79" s="1"/>
      <c r="I79" s="1"/>
      <c r="J79" s="1"/>
    </row>
  </sheetData>
  <mergeCells count="14">
    <mergeCell ref="A7:A8"/>
    <mergeCell ref="I4:J4"/>
    <mergeCell ref="B19:E19"/>
    <mergeCell ref="G19:J19"/>
    <mergeCell ref="H2:I2"/>
    <mergeCell ref="D1:G3"/>
    <mergeCell ref="C5:D5"/>
    <mergeCell ref="C6:D6"/>
    <mergeCell ref="E5:F5"/>
    <mergeCell ref="E6:F6"/>
    <mergeCell ref="G5:H5"/>
    <mergeCell ref="G6:H6"/>
    <mergeCell ref="I5:J5"/>
    <mergeCell ref="I6:J6"/>
  </mergeCells>
  <conditionalFormatting sqref="C21:E45 H21:J55">
    <cfRule type="expression" dxfId="50" priority="35">
      <formula>$B$7="Pesos"</formula>
    </cfRule>
    <cfRule type="expression" dxfId="49" priority="36">
      <formula>$B$7="Soles"</formula>
    </cfRule>
    <cfRule type="expression" dxfId="48" priority="37">
      <formula>$B$7="Bolivianos"</formula>
    </cfRule>
    <cfRule type="expression" dxfId="47" priority="38">
      <formula>$B$7="Euros"</formula>
    </cfRule>
    <cfRule type="expression" dxfId="46" priority="39">
      <formula>$B$7="Dólares"</formula>
    </cfRule>
  </conditionalFormatting>
  <conditionalFormatting sqref="C6:J6">
    <cfRule type="expression" dxfId="45" priority="30">
      <formula>$B$7="Pesos"</formula>
    </cfRule>
    <cfRule type="expression" dxfId="44" priority="31">
      <formula>$B$7="Soles"</formula>
    </cfRule>
    <cfRule type="expression" dxfId="43" priority="32">
      <formula>$B$7="Bolivianos"</formula>
    </cfRule>
    <cfRule type="expression" dxfId="42" priority="33">
      <formula>$B$7="Euros"</formula>
    </cfRule>
    <cfRule type="expression" dxfId="41" priority="34">
      <formula>$B$7="Dólares"</formula>
    </cfRule>
  </conditionalFormatting>
  <conditionalFormatting sqref="I5:J6">
    <cfRule type="expression" dxfId="40" priority="28">
      <formula>$G$6&lt;$E$6</formula>
    </cfRule>
    <cfRule type="expression" dxfId="39" priority="29">
      <formula>$G$6&gt;$E$6</formula>
    </cfRule>
  </conditionalFormatting>
  <conditionalFormatting sqref="G5:H5">
    <cfRule type="expression" dxfId="38" priority="26">
      <formula>$G$6&gt;$E$6</formula>
    </cfRule>
    <cfRule type="expression" dxfId="37" priority="27">
      <formula>$G$6&lt;$E$6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EDFDF85-12FE-4BD3-A651-FCDDDF2328E7}">
            <xm:f>Configuración!$B$17="Pesos"</xm:f>
            <x14:dxf>
              <numFmt numFmtId="164" formatCode="_-&quot;$&quot;* #,##0.00_-;\-&quot;$&quot;* #,##0.00_-;_-&quot;$&quot;* &quot;-&quot;??_-;_-@_-"/>
            </x14:dxf>
          </x14:cfRule>
          <x14:cfRule type="expression" priority="2" id="{D40DEA04-843A-4E97-94C0-FB61E0C492F3}">
            <xm:f>Configuración!$B$17="Soles"</xm:f>
            <x14:dxf>
              <numFmt numFmtId="174" formatCode="_-[$S/-280A]\ * #,##0.00_-;\-[$S/-280A]\ * #,##0.00_-;_-[$S/-280A]\ * &quot;-&quot;??_-;_-@_-"/>
            </x14:dxf>
          </x14:cfRule>
          <x14:cfRule type="expression" priority="3" id="{4790238D-3CA4-483B-ACC2-11BB05B79B4B}">
            <xm:f>Configuración!$B$17="Bolivianos"</xm:f>
            <x14:dxf>
              <numFmt numFmtId="173" formatCode="_-[$Bs-400A]* #,##0.00_-;\-[$Bs-400A]* #,##0.00_-;_-[$Bs-400A]* &quot;-&quot;??_-;_-@_-"/>
            </x14:dxf>
          </x14:cfRule>
          <x14:cfRule type="expression" priority="4" id="{35D1728D-6C58-4FF4-A677-6AD9E76B1A55}">
            <xm:f>Configuración!$B$17="Euros"</xm:f>
            <x14:dxf>
              <numFmt numFmtId="172" formatCode="_-[$€-2]\ * #,##0.00_-;\-[$€-2]\ * #,##0.00_-;_-[$€-2]\ * &quot;-&quot;??_-;_-@_-"/>
            </x14:dxf>
          </x14:cfRule>
          <x14:cfRule type="expression" priority="5" id="{629F4A77-8A4D-4B2A-9576-45A25F9C9A77}">
            <xm:f>Configuración!$B$17="Dólares"</xm:f>
            <x14:dxf>
              <numFmt numFmtId="171" formatCode="_-[$$-540A]* #,##0.00_ ;_-[$$-540A]* \-#,##0.00\ ;_-[$$-540A]* &quot;-&quot;??_ ;_-@_ "/>
            </x14:dxf>
          </x14:cfRule>
          <xm:sqref>H10:I10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Configuración!$I$12:$I$23</xm:f>
          </x14:formula1>
          <xm:sqref>B6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7ED957"/>
  </sheetPr>
  <dimension ref="A1:O136"/>
  <sheetViews>
    <sheetView topLeftCell="A25" zoomScaleNormal="100" workbookViewId="0">
      <selection activeCell="A46" sqref="A46:XFD46"/>
    </sheetView>
  </sheetViews>
  <sheetFormatPr baseColWidth="10" defaultRowHeight="20.100000000000001" customHeight="1" x14ac:dyDescent="0.25"/>
  <cols>
    <col min="1" max="1" width="11.42578125" style="57"/>
    <col min="2" max="2" width="35.7109375" style="38" customWidth="1"/>
    <col min="3" max="14" width="17.42578125" style="38" customWidth="1"/>
    <col min="15" max="15" width="11.42578125" style="57"/>
    <col min="16" max="16384" width="11.42578125" style="38"/>
  </cols>
  <sheetData>
    <row r="1" spans="1:15" ht="20.100000000000001" customHeight="1" x14ac:dyDescent="0.25">
      <c r="A1" s="55"/>
      <c r="B1" s="55"/>
      <c r="C1" s="55"/>
      <c r="D1" s="55"/>
      <c r="E1" s="155" t="s">
        <v>80</v>
      </c>
      <c r="F1" s="155"/>
      <c r="G1" s="155"/>
      <c r="H1" s="155"/>
      <c r="I1" s="155"/>
      <c r="J1" s="155"/>
      <c r="K1" s="55"/>
      <c r="L1" s="55"/>
      <c r="M1" s="55"/>
      <c r="N1" s="55"/>
      <c r="O1" s="55"/>
    </row>
    <row r="2" spans="1:15" ht="20.100000000000001" customHeight="1" x14ac:dyDescent="0.25">
      <c r="A2" s="55"/>
      <c r="B2" s="55"/>
      <c r="C2" s="55"/>
      <c r="D2" s="55"/>
      <c r="E2" s="155"/>
      <c r="F2" s="155"/>
      <c r="G2" s="155"/>
      <c r="H2" s="155"/>
      <c r="I2" s="155"/>
      <c r="J2" s="155"/>
      <c r="K2" s="55"/>
      <c r="L2" s="180" t="str">
        <f>Configuración!$B$8</f>
        <v>Nombre de tu empresa</v>
      </c>
      <c r="M2" s="180"/>
      <c r="N2" s="39">
        <f>Configuración!$B$11</f>
        <v>2024</v>
      </c>
      <c r="O2" s="55"/>
    </row>
    <row r="3" spans="1:15" ht="20.100000000000001" customHeight="1" x14ac:dyDescent="0.25">
      <c r="A3" s="55"/>
      <c r="B3" s="55"/>
      <c r="C3" s="55"/>
      <c r="D3" s="55"/>
      <c r="E3" s="155"/>
      <c r="F3" s="155"/>
      <c r="G3" s="155"/>
      <c r="H3" s="155"/>
      <c r="I3" s="155"/>
      <c r="J3" s="155"/>
      <c r="K3" s="55"/>
      <c r="L3" s="55"/>
      <c r="M3" s="55"/>
      <c r="N3" s="55"/>
      <c r="O3" s="55"/>
    </row>
    <row r="4" spans="1:15" s="57" customFormat="1" ht="20.100000000000001" customHeight="1" x14ac:dyDescent="0.25"/>
    <row r="5" spans="1:15" ht="30" customHeight="1" x14ac:dyDescent="0.25">
      <c r="B5" s="67" t="s">
        <v>65</v>
      </c>
      <c r="C5" s="162" t="s">
        <v>67</v>
      </c>
      <c r="D5" s="162"/>
      <c r="E5" s="175" t="s">
        <v>66</v>
      </c>
      <c r="F5" s="175"/>
      <c r="G5" s="170" t="s">
        <v>68</v>
      </c>
      <c r="H5" s="170"/>
      <c r="I5" s="168" t="s">
        <v>69</v>
      </c>
      <c r="J5" s="168"/>
      <c r="K5" s="209" t="s">
        <v>70</v>
      </c>
      <c r="L5" s="209"/>
      <c r="M5" s="187" t="s">
        <v>71</v>
      </c>
      <c r="N5" s="187"/>
    </row>
    <row r="6" spans="1:15" ht="30" customHeight="1" x14ac:dyDescent="0.25">
      <c r="B6" s="68">
        <f>Configuración!$B$33</f>
        <v>45597</v>
      </c>
      <c r="C6" s="196">
        <f>SUM(C47:N47)</f>
        <v>282844485.81999999</v>
      </c>
      <c r="D6" s="196"/>
      <c r="E6" s="197">
        <f>SUM(C89:N89)</f>
        <v>41114870.345999993</v>
      </c>
      <c r="F6" s="197"/>
      <c r="G6" s="207">
        <f>SUM(C48:N48)</f>
        <v>0</v>
      </c>
      <c r="H6" s="207"/>
      <c r="I6" s="208">
        <f>SUM(C90:N90)</f>
        <v>0</v>
      </c>
      <c r="J6" s="208"/>
      <c r="K6" s="210">
        <f>Configuración!$B$23</f>
        <v>12000000</v>
      </c>
      <c r="L6" s="210"/>
      <c r="M6" s="198">
        <f>$C$6-$E$6</f>
        <v>241729615.47400001</v>
      </c>
      <c r="N6" s="198"/>
    </row>
    <row r="7" spans="1:15" s="53" customFormat="1" ht="20.100000000000001" customHeight="1" x14ac:dyDescent="0.25">
      <c r="B7" s="92" t="str">
        <f>Configuración!$B$17</f>
        <v>Pesos</v>
      </c>
    </row>
    <row r="8" spans="1:15" s="57" customFormat="1" ht="20.100000000000001" customHeight="1" x14ac:dyDescent="0.25"/>
    <row r="9" spans="1:15" s="57" customFormat="1" ht="20.100000000000001" customHeight="1" x14ac:dyDescent="0.25"/>
    <row r="10" spans="1:15" s="57" customFormat="1" ht="20.100000000000001" customHeight="1" x14ac:dyDescent="0.25"/>
    <row r="11" spans="1:15" s="57" customFormat="1" ht="20.100000000000001" customHeight="1" x14ac:dyDescent="0.25"/>
    <row r="12" spans="1:15" s="57" customFormat="1" ht="20.100000000000001" customHeight="1" x14ac:dyDescent="0.25"/>
    <row r="13" spans="1:15" s="57" customFormat="1" ht="20.100000000000001" customHeight="1" x14ac:dyDescent="0.25"/>
    <row r="14" spans="1:15" s="57" customFormat="1" ht="20.100000000000001" customHeight="1" x14ac:dyDescent="0.25"/>
    <row r="15" spans="1:15" s="57" customFormat="1" ht="20.100000000000001" customHeight="1" x14ac:dyDescent="0.25"/>
    <row r="16" spans="1:15" s="57" customFormat="1" ht="20.100000000000001" customHeight="1" x14ac:dyDescent="0.25"/>
    <row r="17" spans="1:14" s="57" customFormat="1" ht="20.100000000000001" customHeight="1" x14ac:dyDescent="0.25"/>
    <row r="18" spans="1:14" s="57" customFormat="1" ht="20.100000000000001" customHeight="1" x14ac:dyDescent="0.25"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</row>
    <row r="19" spans="1:14" ht="35.1" customHeight="1" x14ac:dyDescent="0.25">
      <c r="A19" s="90"/>
      <c r="B19" s="201" t="s">
        <v>63</v>
      </c>
      <c r="C19" s="202"/>
      <c r="D19" s="202"/>
      <c r="E19" s="202"/>
      <c r="F19" s="202"/>
      <c r="G19" s="202"/>
      <c r="H19" s="202"/>
      <c r="I19" s="202"/>
      <c r="J19" s="202"/>
      <c r="K19" s="202"/>
      <c r="L19" s="202"/>
      <c r="M19" s="202"/>
      <c r="N19" s="203"/>
    </row>
    <row r="20" spans="1:14" ht="24.95" customHeight="1" x14ac:dyDescent="0.25">
      <c r="A20" s="90"/>
      <c r="B20" s="199" t="s">
        <v>61</v>
      </c>
      <c r="C20" s="58">
        <f>EDATE($B$6,0)</f>
        <v>45597</v>
      </c>
      <c r="D20" s="58">
        <f>EDATE($B$6,1)</f>
        <v>45627</v>
      </c>
      <c r="E20" s="58">
        <f>EDATE($B$6,2)</f>
        <v>45658</v>
      </c>
      <c r="F20" s="58">
        <f>EDATE($B$6,3)</f>
        <v>45689</v>
      </c>
      <c r="G20" s="58">
        <f>EDATE($B$6,4)</f>
        <v>45717</v>
      </c>
      <c r="H20" s="58">
        <f>EDATE($B$6,5)</f>
        <v>45748</v>
      </c>
      <c r="I20" s="58">
        <f>EDATE($B$6,6)</f>
        <v>45778</v>
      </c>
      <c r="J20" s="58">
        <f>EDATE($B$6,7)</f>
        <v>45809</v>
      </c>
      <c r="K20" s="58">
        <f>EDATE($B$6,8)</f>
        <v>45839</v>
      </c>
      <c r="L20" s="58">
        <f>EDATE($B$6,9)</f>
        <v>45870</v>
      </c>
      <c r="M20" s="58">
        <f>EDATE($B$6,10)</f>
        <v>45901</v>
      </c>
      <c r="N20" s="59">
        <f>EDATE($B$6,11)</f>
        <v>45931</v>
      </c>
    </row>
    <row r="21" spans="1:14" ht="24.95" customHeight="1" x14ac:dyDescent="0.25">
      <c r="A21" s="90"/>
      <c r="B21" s="200"/>
      <c r="C21" s="77">
        <f>Configuración!$I$12</f>
        <v>45626</v>
      </c>
      <c r="D21" s="77">
        <f>Configuración!$I$13</f>
        <v>45657</v>
      </c>
      <c r="E21" s="77">
        <f>Configuración!$I$14</f>
        <v>45688</v>
      </c>
      <c r="F21" s="77">
        <f>Configuración!$I$15</f>
        <v>45716</v>
      </c>
      <c r="G21" s="77">
        <f>Configuración!$I$16</f>
        <v>45747</v>
      </c>
      <c r="H21" s="77">
        <f>Configuración!$I$17</f>
        <v>45777</v>
      </c>
      <c r="I21" s="77">
        <f>Configuración!$I$18</f>
        <v>45808</v>
      </c>
      <c r="J21" s="77">
        <f>Configuración!$I$19</f>
        <v>45838</v>
      </c>
      <c r="K21" s="77">
        <f>Configuración!$I$20</f>
        <v>45869</v>
      </c>
      <c r="L21" s="77">
        <f>Configuración!$I$21</f>
        <v>45900</v>
      </c>
      <c r="M21" s="77">
        <f>Configuración!$I$22</f>
        <v>45930</v>
      </c>
      <c r="N21" s="78">
        <f>Configuración!$I$23</f>
        <v>45961</v>
      </c>
    </row>
    <row r="22" spans="1:14" ht="20.100000000000001" customHeight="1" x14ac:dyDescent="0.25">
      <c r="B22" s="45" t="str" cm="1">
        <f t="array" ref="B22:B46">Configuración!D9:D19</f>
        <v>Banco Galicia</v>
      </c>
      <c r="C22" s="60">
        <f>SUMIFS(TablaIngresos[Ingreso Neto],TablaIngresos[Categoría],B22,TablaIngresos[Fecha],"&gt;="&amp;$C$20,TablaIngresos[Fecha],"&lt;="&amp;$C$21)</f>
        <v>0</v>
      </c>
      <c r="D22" s="60">
        <f>SUMIFS(TablaIngresos[Ingreso Neto],TablaIngresos[Categoría],B22,TablaIngresos[Fecha],"&gt;="&amp;$D$20,TablaIngresos[Fecha],"&lt;="&amp;$D$21)</f>
        <v>9053155.1500000004</v>
      </c>
      <c r="E22" s="60">
        <f>SUMIFS(TablaIngresos[Ingreso Neto],TablaIngresos[Categoría],B22,TablaIngresos[Fecha],"&gt;="&amp;$E$20,TablaIngresos[Fecha],"&lt;="&amp;$E$21)</f>
        <v>0</v>
      </c>
      <c r="F22" s="60">
        <f>SUMIFS(TablaIngresos[Ingreso Neto],TablaIngresos[Categoría],B22,TablaIngresos[Fecha],"&gt;="&amp;$F$20,TablaIngresos[Fecha],"&lt;="&amp;$F$21)</f>
        <v>0</v>
      </c>
      <c r="G22" s="60">
        <f>SUMIFS(TablaIngresos[Ingreso Neto],TablaIngresos[Categoría],B22,TablaIngresos[Fecha],"&gt;="&amp;$G$20,TablaIngresos[Fecha],"&lt;="&amp;$G$21)</f>
        <v>0</v>
      </c>
      <c r="H22" s="60">
        <f>SUMIFS(TablaIngresos[Ingreso Neto],TablaIngresos[Categoría],B22,TablaIngresos[Fecha],"&gt;="&amp;$H$20,TablaIngresos[Fecha],"&lt;="&amp;$H$21)</f>
        <v>0</v>
      </c>
      <c r="I22" s="60">
        <f>SUMIFS(TablaIngresos[Ingreso Neto],TablaIngresos[Categoría],B22,TablaIngresos[Fecha],"&gt;="&amp;$I$20,TablaIngresos[Fecha],"&lt;="&amp;$I$21)</f>
        <v>0</v>
      </c>
      <c r="J22" s="60">
        <f>SUMIFS(TablaIngresos[Ingreso Neto],TablaIngresos[Categoría],B22,TablaIngresos[Fecha],"&gt;="&amp;$J$20,TablaIngresos[Fecha],"&lt;="&amp;$J$21)</f>
        <v>0</v>
      </c>
      <c r="K22" s="60">
        <f>SUMIFS(TablaIngresos[Ingreso Neto],TablaIngresos[Categoría],B22,TablaIngresos[Fecha],"&gt;="&amp;$K$20,TablaIngresos[Fecha],"&lt;="&amp;$K$21)</f>
        <v>0</v>
      </c>
      <c r="L22" s="60">
        <f>SUMIFS(TablaIngresos[Ingreso Neto],TablaIngresos[Categoría],B22,TablaIngresos[Fecha],"&gt;="&amp;$L$20,TablaIngresos[Fecha],"&lt;="&amp;$L$21)</f>
        <v>0</v>
      </c>
      <c r="M22" s="60">
        <f>SUMIFS(TablaIngresos[Ingreso Neto],TablaIngresos[Categoría],B22,TablaIngresos[Fecha],"&gt;="&amp;$M$20,TablaIngresos[Fecha],"&lt;="&amp;$M$21)</f>
        <v>0</v>
      </c>
      <c r="N22" s="60">
        <f>SUMIFS(TablaIngresos[Ingreso Neto],TablaIngresos[Categoría],B22,TablaIngresos[Fecha],"&gt;="&amp;$N$20,TablaIngresos[Fecha],"&lt;="&amp;$N$21)</f>
        <v>0</v>
      </c>
    </row>
    <row r="23" spans="1:14" ht="20.100000000000001" customHeight="1" x14ac:dyDescent="0.25">
      <c r="B23" s="40" t="str">
        <v>Banco Nación</v>
      </c>
      <c r="C23" s="60">
        <f>SUMIFS(TablaIngresos[Ingreso Neto],TablaIngresos[Categoría],B23,TablaIngresos[Fecha],"&gt;="&amp;$C$20,TablaIngresos[Fecha],"&lt;="&amp;$C$21)</f>
        <v>0</v>
      </c>
      <c r="D23" s="60">
        <f>SUMIFS(TablaIngresos[Ingreso Neto],TablaIngresos[Categoría],B23,TablaIngresos[Fecha],"&gt;="&amp;$D$20,TablaIngresos[Fecha],"&lt;="&amp;$D$21)</f>
        <v>14293976</v>
      </c>
      <c r="E23" s="60">
        <f>SUMIFS(TablaIngresos[Ingreso Neto],TablaIngresos[Categoría],B23,TablaIngresos[Fecha],"&gt;="&amp;$E$20,TablaIngresos[Fecha],"&lt;="&amp;$E$21)</f>
        <v>0</v>
      </c>
      <c r="F23" s="60">
        <f>SUMIFS(TablaIngresos[Ingreso Neto],TablaIngresos[Categoría],B23,TablaIngresos[Fecha],"&gt;="&amp;$F$20,TablaIngresos[Fecha],"&lt;="&amp;$F$21)</f>
        <v>0</v>
      </c>
      <c r="G23" s="60">
        <f>SUMIFS(TablaIngresos[Ingreso Neto],TablaIngresos[Categoría],B23,TablaIngresos[Fecha],"&gt;="&amp;$G$20,TablaIngresos[Fecha],"&lt;="&amp;$G$21)</f>
        <v>0</v>
      </c>
      <c r="H23" s="60">
        <f>SUMIFS(TablaIngresos[Ingreso Neto],TablaIngresos[Categoría],B23,TablaIngresos[Fecha],"&gt;="&amp;$H$20,TablaIngresos[Fecha],"&lt;="&amp;$H$21)</f>
        <v>0</v>
      </c>
      <c r="I23" s="60">
        <f>SUMIFS(TablaIngresos[Ingreso Neto],TablaIngresos[Categoría],B23,TablaIngresos[Fecha],"&gt;="&amp;$I$20,TablaIngresos[Fecha],"&lt;="&amp;$I$21)</f>
        <v>0</v>
      </c>
      <c r="J23" s="60">
        <f>SUMIFS(TablaIngresos[Ingreso Neto],TablaIngresos[Categoría],B23,TablaIngresos[Fecha],"&gt;="&amp;$J$20,TablaIngresos[Fecha],"&lt;="&amp;$J$21)</f>
        <v>0</v>
      </c>
      <c r="K23" s="60">
        <f>SUMIFS(TablaIngresos[Ingreso Neto],TablaIngresos[Categoría],B23,TablaIngresos[Fecha],"&gt;="&amp;$K$20,TablaIngresos[Fecha],"&lt;="&amp;$K$21)</f>
        <v>0</v>
      </c>
      <c r="L23" s="60">
        <f>SUMIFS(TablaIngresos[Ingreso Neto],TablaIngresos[Categoría],B23,TablaIngresos[Fecha],"&gt;="&amp;$L$20,TablaIngresos[Fecha],"&lt;="&amp;$L$21)</f>
        <v>0</v>
      </c>
      <c r="M23" s="60">
        <f>SUMIFS(TablaIngresos[Ingreso Neto],TablaIngresos[Categoría],B23,TablaIngresos[Fecha],"&gt;="&amp;$M$20,TablaIngresos[Fecha],"&lt;="&amp;$M$21)</f>
        <v>0</v>
      </c>
      <c r="N23" s="60">
        <f>SUMIFS(TablaIngresos[Ingreso Neto],TablaIngresos[Categoría],B23,TablaIngresos[Fecha],"&gt;="&amp;$N$20,TablaIngresos[Fecha],"&lt;="&amp;$N$21)</f>
        <v>0</v>
      </c>
    </row>
    <row r="24" spans="1:14" ht="20.100000000000001" customHeight="1" x14ac:dyDescent="0.25">
      <c r="B24" s="40" t="str">
        <v>Banco Santander</v>
      </c>
      <c r="C24" s="60">
        <f>SUMIFS(TablaIngresos[Ingreso Neto],TablaIngresos[Categoría],B24,TablaIngresos[Fecha],"&gt;="&amp;$C$20,TablaIngresos[Fecha],"&lt;="&amp;$C$21)</f>
        <v>0</v>
      </c>
      <c r="D24" s="60">
        <f>SUMIFS(TablaIngresos[Ingreso Neto],TablaIngresos[Categoría],B24,TablaIngresos[Fecha],"&gt;="&amp;$D$20,TablaIngresos[Fecha],"&lt;="&amp;$D$21)</f>
        <v>28226299.829999998</v>
      </c>
      <c r="E24" s="60">
        <f>SUMIFS(TablaIngresos[Ingreso Neto],TablaIngresos[Categoría],B24,TablaIngresos[Fecha],"&gt;="&amp;$E$20,TablaIngresos[Fecha],"&lt;="&amp;$E$21)</f>
        <v>0</v>
      </c>
      <c r="F24" s="60">
        <f>SUMIFS(TablaIngresos[Ingreso Neto],TablaIngresos[Categoría],B24,TablaIngresos[Fecha],"&gt;="&amp;$F$20,TablaIngresos[Fecha],"&lt;="&amp;$F$21)</f>
        <v>0</v>
      </c>
      <c r="G24" s="60">
        <f>SUMIFS(TablaIngresos[Ingreso Neto],TablaIngresos[Categoría],B24,TablaIngresos[Fecha],"&gt;="&amp;$G$20,TablaIngresos[Fecha],"&lt;="&amp;$G$21)</f>
        <v>0</v>
      </c>
      <c r="H24" s="60">
        <f>SUMIFS(TablaIngresos[Ingreso Neto],TablaIngresos[Categoría],B24,TablaIngresos[Fecha],"&gt;="&amp;$H$20,TablaIngresos[Fecha],"&lt;="&amp;$H$21)</f>
        <v>0</v>
      </c>
      <c r="I24" s="60">
        <f>SUMIFS(TablaIngresos[Ingreso Neto],TablaIngresos[Categoría],B24,TablaIngresos[Fecha],"&gt;="&amp;$I$20,TablaIngresos[Fecha],"&lt;="&amp;$I$21)</f>
        <v>0</v>
      </c>
      <c r="J24" s="60">
        <f>SUMIFS(TablaIngresos[Ingreso Neto],TablaIngresos[Categoría],B24,TablaIngresos[Fecha],"&gt;="&amp;$J$20,TablaIngresos[Fecha],"&lt;="&amp;$J$21)</f>
        <v>0</v>
      </c>
      <c r="K24" s="60">
        <f>SUMIFS(TablaIngresos[Ingreso Neto],TablaIngresos[Categoría],B24,TablaIngresos[Fecha],"&gt;="&amp;$K$20,TablaIngresos[Fecha],"&lt;="&amp;$K$21)</f>
        <v>0</v>
      </c>
      <c r="L24" s="60">
        <f>SUMIFS(TablaIngresos[Ingreso Neto],TablaIngresos[Categoría],B24,TablaIngresos[Fecha],"&gt;="&amp;$L$20,TablaIngresos[Fecha],"&lt;="&amp;$L$21)</f>
        <v>0</v>
      </c>
      <c r="M24" s="60">
        <f>SUMIFS(TablaIngresos[Ingreso Neto],TablaIngresos[Categoría],B24,TablaIngresos[Fecha],"&gt;="&amp;$M$20,TablaIngresos[Fecha],"&lt;="&amp;$M$21)</f>
        <v>0</v>
      </c>
      <c r="N24" s="60">
        <f>SUMIFS(TablaIngresos[Ingreso Neto],TablaIngresos[Categoría],B24,TablaIngresos[Fecha],"&gt;="&amp;$N$20,TablaIngresos[Fecha],"&lt;="&amp;$N$21)</f>
        <v>0</v>
      </c>
    </row>
    <row r="25" spans="1:14" ht="20.100000000000001" customHeight="1" x14ac:dyDescent="0.25">
      <c r="B25" s="40" t="str">
        <v>Banco Superville</v>
      </c>
      <c r="C25" s="60">
        <f>SUMIFS(TablaIngresos[Ingreso Neto],TablaIngresos[Categoría],B25,TablaIngresos[Fecha],"&gt;="&amp;$C$20,TablaIngresos[Fecha],"&lt;="&amp;$C$21)</f>
        <v>0</v>
      </c>
      <c r="D25" s="60">
        <f>SUMIFS(TablaIngresos[Ingreso Neto],TablaIngresos[Categoría],B25,TablaIngresos[Fecha],"&gt;="&amp;$D$20,TablaIngresos[Fecha],"&lt;="&amp;$D$21)</f>
        <v>0</v>
      </c>
      <c r="E25" s="60">
        <f>SUMIFS(TablaIngresos[Ingreso Neto],TablaIngresos[Categoría],B25,TablaIngresos[Fecha],"&gt;="&amp;$E$20,TablaIngresos[Fecha],"&lt;="&amp;$E$21)</f>
        <v>0</v>
      </c>
      <c r="F25" s="60">
        <f>SUMIFS(TablaIngresos[Ingreso Neto],TablaIngresos[Categoría],B25,TablaIngresos[Fecha],"&gt;="&amp;$F$20,TablaIngresos[Fecha],"&lt;="&amp;$F$21)</f>
        <v>0</v>
      </c>
      <c r="G25" s="60">
        <f>SUMIFS(TablaIngresos[Ingreso Neto],TablaIngresos[Categoría],B25,TablaIngresos[Fecha],"&gt;="&amp;$G$20,TablaIngresos[Fecha],"&lt;="&amp;$G$21)</f>
        <v>0</v>
      </c>
      <c r="H25" s="60">
        <f>SUMIFS(TablaIngresos[Ingreso Neto],TablaIngresos[Categoría],B25,TablaIngresos[Fecha],"&gt;="&amp;$H$20,TablaIngresos[Fecha],"&lt;="&amp;$H$21)</f>
        <v>0</v>
      </c>
      <c r="I25" s="60">
        <f>SUMIFS(TablaIngresos[Ingreso Neto],TablaIngresos[Categoría],B25,TablaIngresos[Fecha],"&gt;="&amp;$I$20,TablaIngresos[Fecha],"&lt;="&amp;$I$21)</f>
        <v>0</v>
      </c>
      <c r="J25" s="60">
        <f>SUMIFS(TablaIngresos[Ingreso Neto],TablaIngresos[Categoría],B25,TablaIngresos[Fecha],"&gt;="&amp;$J$20,TablaIngresos[Fecha],"&lt;="&amp;$J$21)</f>
        <v>0</v>
      </c>
      <c r="K25" s="60">
        <f>SUMIFS(TablaIngresos[Ingreso Neto],TablaIngresos[Categoría],B25,TablaIngresos[Fecha],"&gt;="&amp;$K$20,TablaIngresos[Fecha],"&lt;="&amp;$K$21)</f>
        <v>0</v>
      </c>
      <c r="L25" s="60">
        <f>SUMIFS(TablaIngresos[Ingreso Neto],TablaIngresos[Categoría],B25,TablaIngresos[Fecha],"&gt;="&amp;$L$20,TablaIngresos[Fecha],"&lt;="&amp;$L$21)</f>
        <v>0</v>
      </c>
      <c r="M25" s="60">
        <f>SUMIFS(TablaIngresos[Ingreso Neto],TablaIngresos[Categoría],B25,TablaIngresos[Fecha],"&gt;="&amp;$M$20,TablaIngresos[Fecha],"&lt;="&amp;$M$21)</f>
        <v>0</v>
      </c>
      <c r="N25" s="60">
        <f>SUMIFS(TablaIngresos[Ingreso Neto],TablaIngresos[Categoría],B25,TablaIngresos[Fecha],"&gt;="&amp;$N$20,TablaIngresos[Fecha],"&lt;="&amp;$N$21)</f>
        <v>0</v>
      </c>
    </row>
    <row r="26" spans="1:14" ht="20.100000000000001" customHeight="1" x14ac:dyDescent="0.25">
      <c r="B26" s="40" t="str">
        <v>Banco Superville castelar</v>
      </c>
      <c r="C26" s="60">
        <f>SUMIFS(TablaIngresos[Ingreso Neto],TablaIngresos[Categoría],B26,TablaIngresos[Fecha],"&gt;="&amp;$C$20,TablaIngresos[Fecha],"&lt;="&amp;$C$21)</f>
        <v>0</v>
      </c>
      <c r="D26" s="60">
        <f>SUMIFS(TablaIngresos[Ingreso Neto],TablaIngresos[Categoría],B26,TablaIngresos[Fecha],"&gt;="&amp;$D$20,TablaIngresos[Fecha],"&lt;="&amp;$D$21)</f>
        <v>0</v>
      </c>
      <c r="E26" s="60">
        <f>SUMIFS(TablaIngresos[Ingreso Neto],TablaIngresos[Categoría],B26,TablaIngresos[Fecha],"&gt;="&amp;$E$20,TablaIngresos[Fecha],"&lt;="&amp;$E$21)</f>
        <v>0</v>
      </c>
      <c r="F26" s="60">
        <f>SUMIFS(TablaIngresos[Ingreso Neto],TablaIngresos[Categoría],B26,TablaIngresos[Fecha],"&gt;="&amp;$F$20,TablaIngresos[Fecha],"&lt;="&amp;$F$21)</f>
        <v>0</v>
      </c>
      <c r="G26" s="60">
        <f>SUMIFS(TablaIngresos[Ingreso Neto],TablaIngresos[Categoría],B26,TablaIngresos[Fecha],"&gt;="&amp;$G$20,TablaIngresos[Fecha],"&lt;="&amp;$G$21)</f>
        <v>0</v>
      </c>
      <c r="H26" s="60">
        <f>SUMIFS(TablaIngresos[Ingreso Neto],TablaIngresos[Categoría],B26,TablaIngresos[Fecha],"&gt;="&amp;$H$20,TablaIngresos[Fecha],"&lt;="&amp;$H$21)</f>
        <v>0</v>
      </c>
      <c r="I26" s="60">
        <f>SUMIFS(TablaIngresos[Ingreso Neto],TablaIngresos[Categoría],B26,TablaIngresos[Fecha],"&gt;="&amp;$I$20,TablaIngresos[Fecha],"&lt;="&amp;$I$21)</f>
        <v>0</v>
      </c>
      <c r="J26" s="60">
        <f>SUMIFS(TablaIngresos[Ingreso Neto],TablaIngresos[Categoría],B26,TablaIngresos[Fecha],"&gt;="&amp;$J$20,TablaIngresos[Fecha],"&lt;="&amp;$J$21)</f>
        <v>0</v>
      </c>
      <c r="K26" s="60">
        <f>SUMIFS(TablaIngresos[Ingreso Neto],TablaIngresos[Categoría],B26,TablaIngresos[Fecha],"&gt;="&amp;$K$20,TablaIngresos[Fecha],"&lt;="&amp;$K$21)</f>
        <v>0</v>
      </c>
      <c r="L26" s="60">
        <f>SUMIFS(TablaIngresos[Ingreso Neto],TablaIngresos[Categoría],B26,TablaIngresos[Fecha],"&gt;="&amp;$L$20,TablaIngresos[Fecha],"&lt;="&amp;$L$21)</f>
        <v>0</v>
      </c>
      <c r="M26" s="60">
        <f>SUMIFS(TablaIngresos[Ingreso Neto],TablaIngresos[Categoría],B26,TablaIngresos[Fecha],"&gt;="&amp;$M$20,TablaIngresos[Fecha],"&lt;="&amp;$M$21)</f>
        <v>0</v>
      </c>
      <c r="N26" s="60">
        <f>SUMIFS(TablaIngresos[Ingreso Neto],TablaIngresos[Categoría],B26,TablaIngresos[Fecha],"&gt;="&amp;$N$20,TablaIngresos[Fecha],"&lt;="&amp;$N$21)</f>
        <v>0</v>
      </c>
    </row>
    <row r="27" spans="1:14" ht="20.100000000000001" customHeight="1" x14ac:dyDescent="0.25">
      <c r="B27" s="40" t="str">
        <v>Deposito</v>
      </c>
      <c r="C27" s="60">
        <f>SUMIFS(TablaIngresos[Ingreso Neto],TablaIngresos[Categoría],B27,TablaIngresos[Fecha],"&gt;="&amp;$C$20,TablaIngresos[Fecha],"&lt;="&amp;$C$21)</f>
        <v>0</v>
      </c>
      <c r="D27" s="60">
        <f>SUMIFS(TablaIngresos[Ingreso Neto],TablaIngresos[Categoría],B27,TablaIngresos[Fecha],"&gt;="&amp;$D$20,TablaIngresos[Fecha],"&lt;="&amp;$D$21)</f>
        <v>0</v>
      </c>
      <c r="E27" s="60">
        <f>SUMIFS(TablaIngresos[Ingreso Neto],TablaIngresos[Categoría],B27,TablaIngresos[Fecha],"&gt;="&amp;$E$20,TablaIngresos[Fecha],"&lt;="&amp;$E$21)</f>
        <v>0</v>
      </c>
      <c r="F27" s="60">
        <f>SUMIFS(TablaIngresos[Ingreso Neto],TablaIngresos[Categoría],B27,TablaIngresos[Fecha],"&gt;="&amp;$F$20,TablaIngresos[Fecha],"&lt;="&amp;$F$21)</f>
        <v>0</v>
      </c>
      <c r="G27" s="60">
        <f>SUMIFS(TablaIngresos[Ingreso Neto],TablaIngresos[Categoría],B27,TablaIngresos[Fecha],"&gt;="&amp;$G$20,TablaIngresos[Fecha],"&lt;="&amp;$G$21)</f>
        <v>0</v>
      </c>
      <c r="H27" s="60">
        <f>SUMIFS(TablaIngresos[Ingreso Neto],TablaIngresos[Categoría],B27,TablaIngresos[Fecha],"&gt;="&amp;$H$20,TablaIngresos[Fecha],"&lt;="&amp;$H$21)</f>
        <v>0</v>
      </c>
      <c r="I27" s="60">
        <f>SUMIFS(TablaIngresos[Ingreso Neto],TablaIngresos[Categoría],B27,TablaIngresos[Fecha],"&gt;="&amp;$I$20,TablaIngresos[Fecha],"&lt;="&amp;$I$21)</f>
        <v>0</v>
      </c>
      <c r="J27" s="60">
        <f>SUMIFS(TablaIngresos[Ingreso Neto],TablaIngresos[Categoría],B27,TablaIngresos[Fecha],"&gt;="&amp;$J$20,TablaIngresos[Fecha],"&lt;="&amp;$J$21)</f>
        <v>0</v>
      </c>
      <c r="K27" s="60">
        <f>SUMIFS(TablaIngresos[Ingreso Neto],TablaIngresos[Categoría],B27,TablaIngresos[Fecha],"&gt;="&amp;$K$20,TablaIngresos[Fecha],"&lt;="&amp;$K$21)</f>
        <v>0</v>
      </c>
      <c r="L27" s="60">
        <f>SUMIFS(TablaIngresos[Ingreso Neto],TablaIngresos[Categoría],B27,TablaIngresos[Fecha],"&gt;="&amp;$L$20,TablaIngresos[Fecha],"&lt;="&amp;$L$21)</f>
        <v>0</v>
      </c>
      <c r="M27" s="60">
        <f>SUMIFS(TablaIngresos[Ingreso Neto],TablaIngresos[Categoría],B27,TablaIngresos[Fecha],"&gt;="&amp;$M$20,TablaIngresos[Fecha],"&lt;="&amp;$M$21)</f>
        <v>0</v>
      </c>
      <c r="N27" s="60">
        <f>SUMIFS(TablaIngresos[Ingreso Neto],TablaIngresos[Categoría],B27,TablaIngresos[Fecha],"&gt;="&amp;$N$20,TablaIngresos[Fecha],"&lt;="&amp;$N$21)</f>
        <v>0</v>
      </c>
    </row>
    <row r="28" spans="1:14" ht="20.100000000000001" customHeight="1" x14ac:dyDescent="0.25">
      <c r="B28" s="40" t="str">
        <v>Ventas Local Alvear</v>
      </c>
      <c r="C28" s="60">
        <f>SUMIFS(TablaIngresos[Ingreso Neto],TablaIngresos[Categoría],B28,TablaIngresos[Fecha],"&gt;="&amp;$C$20,TablaIngresos[Fecha],"&lt;="&amp;$C$21)</f>
        <v>0</v>
      </c>
      <c r="D28" s="60">
        <f>SUMIFS(TablaIngresos[Ingreso Neto],TablaIngresos[Categoría],B28,TablaIngresos[Fecha],"&gt;="&amp;$D$20,TablaIngresos[Fecha],"&lt;="&amp;$D$21)</f>
        <v>90698453.600000009</v>
      </c>
      <c r="E28" s="60">
        <f>SUMIFS(TablaIngresos[Ingreso Neto],TablaIngresos[Categoría],B28,TablaIngresos[Fecha],"&gt;="&amp;$E$20,TablaIngresos[Fecha],"&lt;="&amp;$E$21)</f>
        <v>0</v>
      </c>
      <c r="F28" s="60">
        <f>SUMIFS(TablaIngresos[Ingreso Neto],TablaIngresos[Categoría],B28,TablaIngresos[Fecha],"&gt;="&amp;$F$20,TablaIngresos[Fecha],"&lt;="&amp;$F$21)</f>
        <v>0</v>
      </c>
      <c r="G28" s="60">
        <f>SUMIFS(TablaIngresos[Ingreso Neto],TablaIngresos[Categoría],B28,TablaIngresos[Fecha],"&gt;="&amp;$G$20,TablaIngresos[Fecha],"&lt;="&amp;$G$21)</f>
        <v>0</v>
      </c>
      <c r="H28" s="60">
        <f>SUMIFS(TablaIngresos[Ingreso Neto],TablaIngresos[Categoría],B28,TablaIngresos[Fecha],"&gt;="&amp;$H$20,TablaIngresos[Fecha],"&lt;="&amp;$H$21)</f>
        <v>0</v>
      </c>
      <c r="I28" s="60">
        <f>SUMIFS(TablaIngresos[Ingreso Neto],TablaIngresos[Categoría],B28,TablaIngresos[Fecha],"&gt;="&amp;$I$20,TablaIngresos[Fecha],"&lt;="&amp;$I$21)</f>
        <v>0</v>
      </c>
      <c r="J28" s="60">
        <f>SUMIFS(TablaIngresos[Ingreso Neto],TablaIngresos[Categoría],B28,TablaIngresos[Fecha],"&gt;="&amp;$J$20,TablaIngresos[Fecha],"&lt;="&amp;$J$21)</f>
        <v>0</v>
      </c>
      <c r="K28" s="60">
        <f>SUMIFS(TablaIngresos[Ingreso Neto],TablaIngresos[Categoría],B28,TablaIngresos[Fecha],"&gt;="&amp;$K$20,TablaIngresos[Fecha],"&lt;="&amp;$K$21)</f>
        <v>0</v>
      </c>
      <c r="L28" s="60">
        <f>SUMIFS(TablaIngresos[Ingreso Neto],TablaIngresos[Categoría],B28,TablaIngresos[Fecha],"&gt;="&amp;$L$20,TablaIngresos[Fecha],"&lt;="&amp;$L$21)</f>
        <v>0</v>
      </c>
      <c r="M28" s="60">
        <f>SUMIFS(TablaIngresos[Ingreso Neto],TablaIngresos[Categoría],B28,TablaIngresos[Fecha],"&gt;="&amp;$M$20,TablaIngresos[Fecha],"&lt;="&amp;$M$21)</f>
        <v>0</v>
      </c>
      <c r="N28" s="60">
        <f>SUMIFS(TablaIngresos[Ingreso Neto],TablaIngresos[Categoría],B28,TablaIngresos[Fecha],"&gt;="&amp;$N$20,TablaIngresos[Fecha],"&lt;="&amp;$N$21)</f>
        <v>0</v>
      </c>
    </row>
    <row r="29" spans="1:14" ht="20.100000000000001" customHeight="1" x14ac:dyDescent="0.25">
      <c r="B29" s="40" t="str">
        <v>Ventas Local San Rafael</v>
      </c>
      <c r="C29" s="60">
        <f>SUMIFS(TablaIngresos[Ingreso Neto],TablaIngresos[Categoría],B29,TablaIngresos[Fecha],"&gt;="&amp;$C$20,TablaIngresos[Fecha],"&lt;="&amp;$C$21)</f>
        <v>0</v>
      </c>
      <c r="D29" s="60">
        <f>SUMIFS(TablaIngresos[Ingreso Neto],TablaIngresos[Categoría],B29,TablaIngresos[Fecha],"&gt;="&amp;$D$20,TablaIngresos[Fecha],"&lt;="&amp;$D$21)</f>
        <v>100137339.91999999</v>
      </c>
      <c r="E29" s="60">
        <f>SUMIFS(TablaIngresos[Ingreso Neto],TablaIngresos[Categoría],B29,TablaIngresos[Fecha],"&gt;="&amp;$E$20,TablaIngresos[Fecha],"&lt;="&amp;$E$21)</f>
        <v>0</v>
      </c>
      <c r="F29" s="60">
        <f>SUMIFS(TablaIngresos[Ingreso Neto],TablaIngresos[Categoría],B29,TablaIngresos[Fecha],"&gt;="&amp;$F$20,TablaIngresos[Fecha],"&lt;="&amp;$F$21)</f>
        <v>0</v>
      </c>
      <c r="G29" s="60">
        <f>SUMIFS(TablaIngresos[Ingreso Neto],TablaIngresos[Categoría],B29,TablaIngresos[Fecha],"&gt;="&amp;$G$20,TablaIngresos[Fecha],"&lt;="&amp;$G$21)</f>
        <v>0</v>
      </c>
      <c r="H29" s="60">
        <f>SUMIFS(TablaIngresos[Ingreso Neto],TablaIngresos[Categoría],B29,TablaIngresos[Fecha],"&gt;="&amp;$H$20,TablaIngresos[Fecha],"&lt;="&amp;$H$21)</f>
        <v>0</v>
      </c>
      <c r="I29" s="60">
        <f>SUMIFS(TablaIngresos[Ingreso Neto],TablaIngresos[Categoría],B29,TablaIngresos[Fecha],"&gt;="&amp;$I$20,TablaIngresos[Fecha],"&lt;="&amp;$I$21)</f>
        <v>0</v>
      </c>
      <c r="J29" s="60">
        <f>SUMIFS(TablaIngresos[Ingreso Neto],TablaIngresos[Categoría],B29,TablaIngresos[Fecha],"&gt;="&amp;$J$20,TablaIngresos[Fecha],"&lt;="&amp;$J$21)</f>
        <v>0</v>
      </c>
      <c r="K29" s="60">
        <f>SUMIFS(TablaIngresos[Ingreso Neto],TablaIngresos[Categoría],B29,TablaIngresos[Fecha],"&gt;="&amp;$K$20,TablaIngresos[Fecha],"&lt;="&amp;$K$21)</f>
        <v>0</v>
      </c>
      <c r="L29" s="60">
        <f>SUMIFS(TablaIngresos[Ingreso Neto],TablaIngresos[Categoría],B29,TablaIngresos[Fecha],"&gt;="&amp;$L$20,TablaIngresos[Fecha],"&lt;="&amp;$L$21)</f>
        <v>0</v>
      </c>
      <c r="M29" s="60">
        <f>SUMIFS(TablaIngresos[Ingreso Neto],TablaIngresos[Categoría],B29,TablaIngresos[Fecha],"&gt;="&amp;$M$20,TablaIngresos[Fecha],"&lt;="&amp;$M$21)</f>
        <v>0</v>
      </c>
      <c r="N29" s="60">
        <f>SUMIFS(TablaIngresos[Ingreso Neto],TablaIngresos[Categoría],B29,TablaIngresos[Fecha],"&gt;="&amp;$N$20,TablaIngresos[Fecha],"&lt;="&amp;$N$21)</f>
        <v>0</v>
      </c>
    </row>
    <row r="30" spans="1:14" ht="20.100000000000001" customHeight="1" x14ac:dyDescent="0.25">
      <c r="B30" s="40" t="str">
        <v>Ventas Local San Martín</v>
      </c>
      <c r="C30" s="60">
        <f>SUMIFS(TablaIngresos[Ingreso Neto],TablaIngresos[Categoría],B30,TablaIngresos[Fecha],"&gt;="&amp;$C$20,TablaIngresos[Fecha],"&lt;="&amp;$C$21)</f>
        <v>0</v>
      </c>
      <c r="D30" s="60">
        <f>SUMIFS(TablaIngresos[Ingreso Neto],TablaIngresos[Categoría],B30,TablaIngresos[Fecha],"&gt;="&amp;$D$20,TablaIngresos[Fecha],"&lt;="&amp;$D$21)</f>
        <v>39306732.890000001</v>
      </c>
      <c r="E30" s="60">
        <f>SUMIFS(TablaIngresos[Ingreso Neto],TablaIngresos[Categoría],B30,TablaIngresos[Fecha],"&gt;="&amp;$E$20,TablaIngresos[Fecha],"&lt;="&amp;$E$21)</f>
        <v>0</v>
      </c>
      <c r="F30" s="60">
        <f>SUMIFS(TablaIngresos[Ingreso Neto],TablaIngresos[Categoría],B30,TablaIngresos[Fecha],"&gt;="&amp;$F$20,TablaIngresos[Fecha],"&lt;="&amp;$F$21)</f>
        <v>0</v>
      </c>
      <c r="G30" s="60">
        <f>SUMIFS(TablaIngresos[Ingreso Neto],TablaIngresos[Categoría],B30,TablaIngresos[Fecha],"&gt;="&amp;$G$20,TablaIngresos[Fecha],"&lt;="&amp;$G$21)</f>
        <v>0</v>
      </c>
      <c r="H30" s="60">
        <f>SUMIFS(TablaIngresos[Ingreso Neto],TablaIngresos[Categoría],B30,TablaIngresos[Fecha],"&gt;="&amp;$H$20,TablaIngresos[Fecha],"&lt;="&amp;$H$21)</f>
        <v>0</v>
      </c>
      <c r="I30" s="60">
        <f>SUMIFS(TablaIngresos[Ingreso Neto],TablaIngresos[Categoría],B30,TablaIngresos[Fecha],"&gt;="&amp;$I$20,TablaIngresos[Fecha],"&lt;="&amp;$I$21)</f>
        <v>0</v>
      </c>
      <c r="J30" s="60">
        <f>SUMIFS(TablaIngresos[Ingreso Neto],TablaIngresos[Categoría],B30,TablaIngresos[Fecha],"&gt;="&amp;$J$20,TablaIngresos[Fecha],"&lt;="&amp;$J$21)</f>
        <v>0</v>
      </c>
      <c r="K30" s="60">
        <f>SUMIFS(TablaIngresos[Ingreso Neto],TablaIngresos[Categoría],B30,TablaIngresos[Fecha],"&gt;="&amp;$K$20,TablaIngresos[Fecha],"&lt;="&amp;$K$21)</f>
        <v>0</v>
      </c>
      <c r="L30" s="60">
        <f>SUMIFS(TablaIngresos[Ingreso Neto],TablaIngresos[Categoría],B30,TablaIngresos[Fecha],"&gt;="&amp;$L$20,TablaIngresos[Fecha],"&lt;="&amp;$L$21)</f>
        <v>0</v>
      </c>
      <c r="M30" s="60">
        <f>SUMIFS(TablaIngresos[Ingreso Neto],TablaIngresos[Categoría],B30,TablaIngresos[Fecha],"&gt;="&amp;$M$20,TablaIngresos[Fecha],"&lt;="&amp;$M$21)</f>
        <v>0</v>
      </c>
      <c r="N30" s="60">
        <f>SUMIFS(TablaIngresos[Ingreso Neto],TablaIngresos[Categoría],B30,TablaIngresos[Fecha],"&gt;="&amp;$N$20,TablaIngresos[Fecha],"&lt;="&amp;$N$21)</f>
        <v>0</v>
      </c>
    </row>
    <row r="31" spans="1:14" ht="20.100000000000001" customHeight="1" x14ac:dyDescent="0.25">
      <c r="B31" s="40" t="str">
        <v>Ventas Mendoza (Mauri)</v>
      </c>
      <c r="C31" s="60">
        <f>SUMIFS(TablaIngresos[Ingreso Neto],TablaIngresos[Categoría],B31,TablaIngresos[Fecha],"&gt;="&amp;$C$20,TablaIngresos[Fecha],"&lt;="&amp;$C$21)</f>
        <v>0</v>
      </c>
      <c r="D31" s="60">
        <f>SUMIFS(TablaIngresos[Ingreso Neto],TablaIngresos[Categoría],B31,TablaIngresos[Fecha],"&gt;="&amp;$D$20,TablaIngresos[Fecha],"&lt;="&amp;$D$21)</f>
        <v>1128528.4300000002</v>
      </c>
      <c r="E31" s="60">
        <f>SUMIFS(TablaIngresos[Ingreso Neto],TablaIngresos[Categoría],B31,TablaIngresos[Fecha],"&gt;="&amp;$E$20,TablaIngresos[Fecha],"&lt;="&amp;$E$21)</f>
        <v>0</v>
      </c>
      <c r="F31" s="60">
        <f>SUMIFS(TablaIngresos[Ingreso Neto],TablaIngresos[Categoría],B31,TablaIngresos[Fecha],"&gt;="&amp;$F$20,TablaIngresos[Fecha],"&lt;="&amp;$F$21)</f>
        <v>0</v>
      </c>
      <c r="G31" s="60">
        <f>SUMIFS(TablaIngresos[Ingreso Neto],TablaIngresos[Categoría],B31,TablaIngresos[Fecha],"&gt;="&amp;$G$20,TablaIngresos[Fecha],"&lt;="&amp;$G$21)</f>
        <v>0</v>
      </c>
      <c r="H31" s="60">
        <f>SUMIFS(TablaIngresos[Ingreso Neto],TablaIngresos[Categoría],B31,TablaIngresos[Fecha],"&gt;="&amp;$H$20,TablaIngresos[Fecha],"&lt;="&amp;$H$21)</f>
        <v>0</v>
      </c>
      <c r="I31" s="60">
        <f>SUMIFS(TablaIngresos[Ingreso Neto],TablaIngresos[Categoría],B31,TablaIngresos[Fecha],"&gt;="&amp;$I$20,TablaIngresos[Fecha],"&lt;="&amp;$I$21)</f>
        <v>0</v>
      </c>
      <c r="J31" s="60">
        <f>SUMIFS(TablaIngresos[Ingreso Neto],TablaIngresos[Categoría],B31,TablaIngresos[Fecha],"&gt;="&amp;$J$20,TablaIngresos[Fecha],"&lt;="&amp;$J$21)</f>
        <v>0</v>
      </c>
      <c r="K31" s="60">
        <f>SUMIFS(TablaIngresos[Ingreso Neto],TablaIngresos[Categoría],B31,TablaIngresos[Fecha],"&gt;="&amp;$K$20,TablaIngresos[Fecha],"&lt;="&amp;$K$21)</f>
        <v>0</v>
      </c>
      <c r="L31" s="60">
        <f>SUMIFS(TablaIngresos[Ingreso Neto],TablaIngresos[Categoría],B31,TablaIngresos[Fecha],"&gt;="&amp;$L$20,TablaIngresos[Fecha],"&lt;="&amp;$L$21)</f>
        <v>0</v>
      </c>
      <c r="M31" s="60">
        <f>SUMIFS(TablaIngresos[Ingreso Neto],TablaIngresos[Categoría],B31,TablaIngresos[Fecha],"&gt;="&amp;$M$20,TablaIngresos[Fecha],"&lt;="&amp;$M$21)</f>
        <v>0</v>
      </c>
      <c r="N31" s="60">
        <f>SUMIFS(TablaIngresos[Ingreso Neto],TablaIngresos[Categoría],B31,TablaIngresos[Fecha],"&gt;="&amp;$N$20,TablaIngresos[Fecha],"&lt;="&amp;$N$21)</f>
        <v>0</v>
      </c>
    </row>
    <row r="32" spans="1:14" ht="20.100000000000001" customHeight="1" x14ac:dyDescent="0.25">
      <c r="B32" s="40" t="str">
        <v>Ventas Frigorífico</v>
      </c>
      <c r="C32" s="60">
        <f>SUMIFS(TablaIngresos[Ingreso Neto],TablaIngresos[Categoría],B32,TablaIngresos[Fecha],"&gt;="&amp;$C$20,TablaIngresos[Fecha],"&lt;="&amp;$C$21)</f>
        <v>0</v>
      </c>
      <c r="D32" s="60">
        <f>SUMIFS(TablaIngresos[Ingreso Neto],TablaIngresos[Categoría],B32,TablaIngresos[Fecha],"&gt;="&amp;$D$20,TablaIngresos[Fecha],"&lt;="&amp;$D$21)</f>
        <v>0</v>
      </c>
      <c r="E32" s="60">
        <f>SUMIFS(TablaIngresos[Ingreso Neto],TablaIngresos[Categoría],B32,TablaIngresos[Fecha],"&gt;="&amp;$E$20,TablaIngresos[Fecha],"&lt;="&amp;$E$21)</f>
        <v>0</v>
      </c>
      <c r="F32" s="60">
        <f>SUMIFS(TablaIngresos[Ingreso Neto],TablaIngresos[Categoría],B32,TablaIngresos[Fecha],"&gt;="&amp;$F$20,TablaIngresos[Fecha],"&lt;="&amp;$F$21)</f>
        <v>0</v>
      </c>
      <c r="G32" s="60">
        <f>SUMIFS(TablaIngresos[Ingreso Neto],TablaIngresos[Categoría],B32,TablaIngresos[Fecha],"&gt;="&amp;$G$20,TablaIngresos[Fecha],"&lt;="&amp;$G$21)</f>
        <v>0</v>
      </c>
      <c r="H32" s="60">
        <f>SUMIFS(TablaIngresos[Ingreso Neto],TablaIngresos[Categoría],B32,TablaIngresos[Fecha],"&gt;="&amp;$H$20,TablaIngresos[Fecha],"&lt;="&amp;$H$21)</f>
        <v>0</v>
      </c>
      <c r="I32" s="60">
        <f>SUMIFS(TablaIngresos[Ingreso Neto],TablaIngresos[Categoría],B32,TablaIngresos[Fecha],"&gt;="&amp;$I$20,TablaIngresos[Fecha],"&lt;="&amp;$I$21)</f>
        <v>0</v>
      </c>
      <c r="J32" s="60">
        <f>SUMIFS(TablaIngresos[Ingreso Neto],TablaIngresos[Categoría],B32,TablaIngresos[Fecha],"&gt;="&amp;$J$20,TablaIngresos[Fecha],"&lt;="&amp;$J$21)</f>
        <v>0</v>
      </c>
      <c r="K32" s="60">
        <f>SUMIFS(TablaIngresos[Ingreso Neto],TablaIngresos[Categoría],B32,TablaIngresos[Fecha],"&gt;="&amp;$K$20,TablaIngresos[Fecha],"&lt;="&amp;$K$21)</f>
        <v>0</v>
      </c>
      <c r="L32" s="60">
        <f>SUMIFS(TablaIngresos[Ingreso Neto],TablaIngresos[Categoría],B32,TablaIngresos[Fecha],"&gt;="&amp;$L$20,TablaIngresos[Fecha],"&lt;="&amp;$L$21)</f>
        <v>0</v>
      </c>
      <c r="M32" s="60">
        <f>SUMIFS(TablaIngresos[Ingreso Neto],TablaIngresos[Categoría],B32,TablaIngresos[Fecha],"&gt;="&amp;$M$20,TablaIngresos[Fecha],"&lt;="&amp;$M$21)</f>
        <v>0</v>
      </c>
      <c r="N32" s="60">
        <f>SUMIFS(TablaIngresos[Ingreso Neto],TablaIngresos[Categoría],B32,TablaIngresos[Fecha],"&gt;="&amp;$N$20,TablaIngresos[Fecha],"&lt;="&amp;$N$21)</f>
        <v>0</v>
      </c>
    </row>
    <row r="33" spans="2:14" ht="20.100000000000001" customHeight="1" x14ac:dyDescent="0.25">
      <c r="B33" s="40" t="e">
        <v>#N/A</v>
      </c>
      <c r="C33" s="60">
        <f>SUMIFS(TablaIngresos[Ingreso Neto],TablaIngresos[Categoría],B33,TablaIngresos[Fecha],"&gt;="&amp;$C$20,TablaIngresos[Fecha],"&lt;="&amp;$C$21)</f>
        <v>0</v>
      </c>
      <c r="D33" s="60">
        <f>SUMIFS(TablaIngresos[Ingreso Neto],TablaIngresos[Categoría],B33,TablaIngresos[Fecha],"&gt;="&amp;$D$20,TablaIngresos[Fecha],"&lt;="&amp;$D$21)</f>
        <v>0</v>
      </c>
      <c r="E33" s="60">
        <f>SUMIFS(TablaIngresos[Ingreso Neto],TablaIngresos[Categoría],B33,TablaIngresos[Fecha],"&gt;="&amp;$E$20,TablaIngresos[Fecha],"&lt;="&amp;$E$21)</f>
        <v>0</v>
      </c>
      <c r="F33" s="60">
        <f>SUMIFS(TablaIngresos[Ingreso Neto],TablaIngresos[Categoría],B33,TablaIngresos[Fecha],"&gt;="&amp;$F$20,TablaIngresos[Fecha],"&lt;="&amp;$F$21)</f>
        <v>0</v>
      </c>
      <c r="G33" s="60">
        <f>SUMIFS(TablaIngresos[Ingreso Neto],TablaIngresos[Categoría],B33,TablaIngresos[Fecha],"&gt;="&amp;$G$20,TablaIngresos[Fecha],"&lt;="&amp;$G$21)</f>
        <v>0</v>
      </c>
      <c r="H33" s="60">
        <f>SUMIFS(TablaIngresos[Ingreso Neto],TablaIngresos[Categoría],B33,TablaIngresos[Fecha],"&gt;="&amp;$H$20,TablaIngresos[Fecha],"&lt;="&amp;$H$21)</f>
        <v>0</v>
      </c>
      <c r="I33" s="60">
        <f>SUMIFS(TablaIngresos[Ingreso Neto],TablaIngresos[Categoría],B33,TablaIngresos[Fecha],"&gt;="&amp;$I$20,TablaIngresos[Fecha],"&lt;="&amp;$I$21)</f>
        <v>0</v>
      </c>
      <c r="J33" s="60">
        <f>SUMIFS(TablaIngresos[Ingreso Neto],TablaIngresos[Categoría],B33,TablaIngresos[Fecha],"&gt;="&amp;$J$20,TablaIngresos[Fecha],"&lt;="&amp;$J$21)</f>
        <v>0</v>
      </c>
      <c r="K33" s="60">
        <f>SUMIFS(TablaIngresos[Ingreso Neto],TablaIngresos[Categoría],B33,TablaIngresos[Fecha],"&gt;="&amp;$K$20,TablaIngresos[Fecha],"&lt;="&amp;$K$21)</f>
        <v>0</v>
      </c>
      <c r="L33" s="60">
        <f>SUMIFS(TablaIngresos[Ingreso Neto],TablaIngresos[Categoría],B33,TablaIngresos[Fecha],"&gt;="&amp;$L$20,TablaIngresos[Fecha],"&lt;="&amp;$L$21)</f>
        <v>0</v>
      </c>
      <c r="M33" s="60">
        <f>SUMIFS(TablaIngresos[Ingreso Neto],TablaIngresos[Categoría],B33,TablaIngresos[Fecha],"&gt;="&amp;$M$20,TablaIngresos[Fecha],"&lt;="&amp;$M$21)</f>
        <v>0</v>
      </c>
      <c r="N33" s="60">
        <f>SUMIFS(TablaIngresos[Ingreso Neto],TablaIngresos[Categoría],B33,TablaIngresos[Fecha],"&gt;="&amp;$N$20,TablaIngresos[Fecha],"&lt;="&amp;$N$21)</f>
        <v>0</v>
      </c>
    </row>
    <row r="34" spans="2:14" ht="20.100000000000001" customHeight="1" x14ac:dyDescent="0.25">
      <c r="B34" s="40" t="e">
        <v>#N/A</v>
      </c>
      <c r="C34" s="60">
        <f>SUMIFS(TablaIngresos[Ingreso Neto],TablaIngresos[Categoría],B34,TablaIngresos[Fecha],"&gt;="&amp;$C$20,TablaIngresos[Fecha],"&lt;="&amp;$C$21)</f>
        <v>0</v>
      </c>
      <c r="D34" s="60">
        <f>SUMIFS(TablaIngresos[Ingreso Neto],TablaIngresos[Categoría],B34,TablaIngresos[Fecha],"&gt;="&amp;$D$20,TablaIngresos[Fecha],"&lt;="&amp;$D$21)</f>
        <v>0</v>
      </c>
      <c r="E34" s="60">
        <f>SUMIFS(TablaIngresos[Ingreso Neto],TablaIngresos[Categoría],B34,TablaIngresos[Fecha],"&gt;="&amp;$E$20,TablaIngresos[Fecha],"&lt;="&amp;$E$21)</f>
        <v>0</v>
      </c>
      <c r="F34" s="60">
        <f>SUMIFS(TablaIngresos[Ingreso Neto],TablaIngresos[Categoría],B34,TablaIngresos[Fecha],"&gt;="&amp;$F$20,TablaIngresos[Fecha],"&lt;="&amp;$F$21)</f>
        <v>0</v>
      </c>
      <c r="G34" s="60">
        <f>SUMIFS(TablaIngresos[Ingreso Neto],TablaIngresos[Categoría],B34,TablaIngresos[Fecha],"&gt;="&amp;$G$20,TablaIngresos[Fecha],"&lt;="&amp;$G$21)</f>
        <v>0</v>
      </c>
      <c r="H34" s="60">
        <f>SUMIFS(TablaIngresos[Ingreso Neto],TablaIngresos[Categoría],B34,TablaIngresos[Fecha],"&gt;="&amp;$H$20,TablaIngresos[Fecha],"&lt;="&amp;$H$21)</f>
        <v>0</v>
      </c>
      <c r="I34" s="60">
        <f>SUMIFS(TablaIngresos[Ingreso Neto],TablaIngresos[Categoría],B34,TablaIngresos[Fecha],"&gt;="&amp;$I$20,TablaIngresos[Fecha],"&lt;="&amp;$I$21)</f>
        <v>0</v>
      </c>
      <c r="J34" s="60">
        <f>SUMIFS(TablaIngresos[Ingreso Neto],TablaIngresos[Categoría],B34,TablaIngresos[Fecha],"&gt;="&amp;$J$20,TablaIngresos[Fecha],"&lt;="&amp;$J$21)</f>
        <v>0</v>
      </c>
      <c r="K34" s="60">
        <f>SUMIFS(TablaIngresos[Ingreso Neto],TablaIngresos[Categoría],B34,TablaIngresos[Fecha],"&gt;="&amp;$K$20,TablaIngresos[Fecha],"&lt;="&amp;$K$21)</f>
        <v>0</v>
      </c>
      <c r="L34" s="60">
        <f>SUMIFS(TablaIngresos[Ingreso Neto],TablaIngresos[Categoría],B34,TablaIngresos[Fecha],"&gt;="&amp;$L$20,TablaIngresos[Fecha],"&lt;="&amp;$L$21)</f>
        <v>0</v>
      </c>
      <c r="M34" s="60">
        <f>SUMIFS(TablaIngresos[Ingreso Neto],TablaIngresos[Categoría],B34,TablaIngresos[Fecha],"&gt;="&amp;$M$20,TablaIngresos[Fecha],"&lt;="&amp;$M$21)</f>
        <v>0</v>
      </c>
      <c r="N34" s="60">
        <f>SUMIFS(TablaIngresos[Ingreso Neto],TablaIngresos[Categoría],B34,TablaIngresos[Fecha],"&gt;="&amp;$N$20,TablaIngresos[Fecha],"&lt;="&amp;$N$21)</f>
        <v>0</v>
      </c>
    </row>
    <row r="35" spans="2:14" ht="20.100000000000001" customHeight="1" x14ac:dyDescent="0.25">
      <c r="B35" s="40" t="e">
        <v>#N/A</v>
      </c>
      <c r="C35" s="60">
        <f>SUMIFS(TablaIngresos[Ingreso Neto],TablaIngresos[Categoría],B35,TablaIngresos[Fecha],"&gt;="&amp;$C$20,TablaIngresos[Fecha],"&lt;="&amp;$C$21)</f>
        <v>0</v>
      </c>
      <c r="D35" s="60">
        <f>SUMIFS(TablaIngresos[Ingreso Neto],TablaIngresos[Categoría],B35,TablaIngresos[Fecha],"&gt;="&amp;$D$20,TablaIngresos[Fecha],"&lt;="&amp;$D$21)</f>
        <v>0</v>
      </c>
      <c r="E35" s="60">
        <f>SUMIFS(TablaIngresos[Ingreso Neto],TablaIngresos[Categoría],B35,TablaIngresos[Fecha],"&gt;="&amp;$E$20,TablaIngresos[Fecha],"&lt;="&amp;$E$21)</f>
        <v>0</v>
      </c>
      <c r="F35" s="60">
        <f>SUMIFS(TablaIngresos[Ingreso Neto],TablaIngresos[Categoría],B35,TablaIngresos[Fecha],"&gt;="&amp;$F$20,TablaIngresos[Fecha],"&lt;="&amp;$F$21)</f>
        <v>0</v>
      </c>
      <c r="G35" s="60">
        <f>SUMIFS(TablaIngresos[Ingreso Neto],TablaIngresos[Categoría],B35,TablaIngresos[Fecha],"&gt;="&amp;$G$20,TablaIngresos[Fecha],"&lt;="&amp;$G$21)</f>
        <v>0</v>
      </c>
      <c r="H35" s="60">
        <f>SUMIFS(TablaIngresos[Ingreso Neto],TablaIngresos[Categoría],B35,TablaIngresos[Fecha],"&gt;="&amp;$H$20,TablaIngresos[Fecha],"&lt;="&amp;$H$21)</f>
        <v>0</v>
      </c>
      <c r="I35" s="60">
        <f>SUMIFS(TablaIngresos[Ingreso Neto],TablaIngresos[Categoría],B35,TablaIngresos[Fecha],"&gt;="&amp;$I$20,TablaIngresos[Fecha],"&lt;="&amp;$I$21)</f>
        <v>0</v>
      </c>
      <c r="J35" s="60">
        <f>SUMIFS(TablaIngresos[Ingreso Neto],TablaIngresos[Categoría],B35,TablaIngresos[Fecha],"&gt;="&amp;$J$20,TablaIngresos[Fecha],"&lt;="&amp;$J$21)</f>
        <v>0</v>
      </c>
      <c r="K35" s="60">
        <f>SUMIFS(TablaIngresos[Ingreso Neto],TablaIngresos[Categoría],B35,TablaIngresos[Fecha],"&gt;="&amp;$K$20,TablaIngresos[Fecha],"&lt;="&amp;$K$21)</f>
        <v>0</v>
      </c>
      <c r="L35" s="60">
        <f>SUMIFS(TablaIngresos[Ingreso Neto],TablaIngresos[Categoría],B35,TablaIngresos[Fecha],"&gt;="&amp;$L$20,TablaIngresos[Fecha],"&lt;="&amp;$L$21)</f>
        <v>0</v>
      </c>
      <c r="M35" s="60">
        <f>SUMIFS(TablaIngresos[Ingreso Neto],TablaIngresos[Categoría],B35,TablaIngresos[Fecha],"&gt;="&amp;$M$20,TablaIngresos[Fecha],"&lt;="&amp;$M$21)</f>
        <v>0</v>
      </c>
      <c r="N35" s="60">
        <f>SUMIFS(TablaIngresos[Ingreso Neto],TablaIngresos[Categoría],B35,TablaIngresos[Fecha],"&gt;="&amp;$N$20,TablaIngresos[Fecha],"&lt;="&amp;$N$21)</f>
        <v>0</v>
      </c>
    </row>
    <row r="36" spans="2:14" ht="20.100000000000001" customHeight="1" x14ac:dyDescent="0.25">
      <c r="B36" s="40" t="e">
        <v>#N/A</v>
      </c>
      <c r="C36" s="60">
        <f>SUMIFS(TablaIngresos[Ingreso Neto],TablaIngresos[Categoría],B36,TablaIngresos[Fecha],"&gt;="&amp;$C$20,TablaIngresos[Fecha],"&lt;="&amp;$C$21)</f>
        <v>0</v>
      </c>
      <c r="D36" s="60">
        <f>SUMIFS(TablaIngresos[Ingreso Neto],TablaIngresos[Categoría],B36,TablaIngresos[Fecha],"&gt;="&amp;$D$20,TablaIngresos[Fecha],"&lt;="&amp;$D$21)</f>
        <v>0</v>
      </c>
      <c r="E36" s="60">
        <f>SUMIFS(TablaIngresos[Ingreso Neto],TablaIngresos[Categoría],B36,TablaIngresos[Fecha],"&gt;="&amp;$E$20,TablaIngresos[Fecha],"&lt;="&amp;$E$21)</f>
        <v>0</v>
      </c>
      <c r="F36" s="60">
        <f>SUMIFS(TablaIngresos[Ingreso Neto],TablaIngresos[Categoría],B36,TablaIngresos[Fecha],"&gt;="&amp;$F$20,TablaIngresos[Fecha],"&lt;="&amp;$F$21)</f>
        <v>0</v>
      </c>
      <c r="G36" s="60">
        <f>SUMIFS(TablaIngresos[Ingreso Neto],TablaIngresos[Categoría],B36,TablaIngresos[Fecha],"&gt;="&amp;$G$20,TablaIngresos[Fecha],"&lt;="&amp;$G$21)</f>
        <v>0</v>
      </c>
      <c r="H36" s="60">
        <f>SUMIFS(TablaIngresos[Ingreso Neto],TablaIngresos[Categoría],B36,TablaIngresos[Fecha],"&gt;="&amp;$H$20,TablaIngresos[Fecha],"&lt;="&amp;$H$21)</f>
        <v>0</v>
      </c>
      <c r="I36" s="60">
        <f>SUMIFS(TablaIngresos[Ingreso Neto],TablaIngresos[Categoría],B36,TablaIngresos[Fecha],"&gt;="&amp;$I$20,TablaIngresos[Fecha],"&lt;="&amp;$I$21)</f>
        <v>0</v>
      </c>
      <c r="J36" s="60">
        <f>SUMIFS(TablaIngresos[Ingreso Neto],TablaIngresos[Categoría],B36,TablaIngresos[Fecha],"&gt;="&amp;$J$20,TablaIngresos[Fecha],"&lt;="&amp;$J$21)</f>
        <v>0</v>
      </c>
      <c r="K36" s="60">
        <f>SUMIFS(TablaIngresos[Ingreso Neto],TablaIngresos[Categoría],B36,TablaIngresos[Fecha],"&gt;="&amp;$K$20,TablaIngresos[Fecha],"&lt;="&amp;$K$21)</f>
        <v>0</v>
      </c>
      <c r="L36" s="60">
        <f>SUMIFS(TablaIngresos[Ingreso Neto],TablaIngresos[Categoría],B36,TablaIngresos[Fecha],"&gt;="&amp;$L$20,TablaIngresos[Fecha],"&lt;="&amp;$L$21)</f>
        <v>0</v>
      </c>
      <c r="M36" s="60">
        <f>SUMIFS(TablaIngresos[Ingreso Neto],TablaIngresos[Categoría],B36,TablaIngresos[Fecha],"&gt;="&amp;$M$20,TablaIngresos[Fecha],"&lt;="&amp;$M$21)</f>
        <v>0</v>
      </c>
      <c r="N36" s="60">
        <f>SUMIFS(TablaIngresos[Ingreso Neto],TablaIngresos[Categoría],B36,TablaIngresos[Fecha],"&gt;="&amp;$N$20,TablaIngresos[Fecha],"&lt;="&amp;$N$21)</f>
        <v>0</v>
      </c>
    </row>
    <row r="37" spans="2:14" ht="20.100000000000001" customHeight="1" x14ac:dyDescent="0.25">
      <c r="B37" s="40" t="e">
        <v>#N/A</v>
      </c>
      <c r="C37" s="60">
        <f>SUMIFS(TablaIngresos[Ingreso Neto],TablaIngresos[Categoría],B37,TablaIngresos[Fecha],"&gt;="&amp;$C$20,TablaIngresos[Fecha],"&lt;="&amp;$C$21)</f>
        <v>0</v>
      </c>
      <c r="D37" s="60">
        <f>SUMIFS(TablaIngresos[Ingreso Neto],TablaIngresos[Categoría],B37,TablaIngresos[Fecha],"&gt;="&amp;$D$20,TablaIngresos[Fecha],"&lt;="&amp;$D$21)</f>
        <v>0</v>
      </c>
      <c r="E37" s="60">
        <f>SUMIFS(TablaIngresos[Ingreso Neto],TablaIngresos[Categoría],B37,TablaIngresos[Fecha],"&gt;="&amp;$E$20,TablaIngresos[Fecha],"&lt;="&amp;$E$21)</f>
        <v>0</v>
      </c>
      <c r="F37" s="60">
        <f>SUMIFS(TablaIngresos[Ingreso Neto],TablaIngresos[Categoría],B37,TablaIngresos[Fecha],"&gt;="&amp;$F$20,TablaIngresos[Fecha],"&lt;="&amp;$F$21)</f>
        <v>0</v>
      </c>
      <c r="G37" s="60">
        <f>SUMIFS(TablaIngresos[Ingreso Neto],TablaIngresos[Categoría],B37,TablaIngresos[Fecha],"&gt;="&amp;$G$20,TablaIngresos[Fecha],"&lt;="&amp;$G$21)</f>
        <v>0</v>
      </c>
      <c r="H37" s="60">
        <f>SUMIFS(TablaIngresos[Ingreso Neto],TablaIngresos[Categoría],B37,TablaIngresos[Fecha],"&gt;="&amp;$H$20,TablaIngresos[Fecha],"&lt;="&amp;$H$21)</f>
        <v>0</v>
      </c>
      <c r="I37" s="60">
        <f>SUMIFS(TablaIngresos[Ingreso Neto],TablaIngresos[Categoría],B37,TablaIngresos[Fecha],"&gt;="&amp;$I$20,TablaIngresos[Fecha],"&lt;="&amp;$I$21)</f>
        <v>0</v>
      </c>
      <c r="J37" s="60">
        <f>SUMIFS(TablaIngresos[Ingreso Neto],TablaIngresos[Categoría],B37,TablaIngresos[Fecha],"&gt;="&amp;$J$20,TablaIngresos[Fecha],"&lt;="&amp;$J$21)</f>
        <v>0</v>
      </c>
      <c r="K37" s="60">
        <f>SUMIFS(TablaIngresos[Ingreso Neto],TablaIngresos[Categoría],B37,TablaIngresos[Fecha],"&gt;="&amp;$K$20,TablaIngresos[Fecha],"&lt;="&amp;$K$21)</f>
        <v>0</v>
      </c>
      <c r="L37" s="60">
        <f>SUMIFS(TablaIngresos[Ingreso Neto],TablaIngresos[Categoría],B37,TablaIngresos[Fecha],"&gt;="&amp;$L$20,TablaIngresos[Fecha],"&lt;="&amp;$L$21)</f>
        <v>0</v>
      </c>
      <c r="M37" s="60">
        <f>SUMIFS(TablaIngresos[Ingreso Neto],TablaIngresos[Categoría],B37,TablaIngresos[Fecha],"&gt;="&amp;$M$20,TablaIngresos[Fecha],"&lt;="&amp;$M$21)</f>
        <v>0</v>
      </c>
      <c r="N37" s="60">
        <f>SUMIFS(TablaIngresos[Ingreso Neto],TablaIngresos[Categoría],B37,TablaIngresos[Fecha],"&gt;="&amp;$N$20,TablaIngresos[Fecha],"&lt;="&amp;$N$21)</f>
        <v>0</v>
      </c>
    </row>
    <row r="38" spans="2:14" ht="20.100000000000001" customHeight="1" x14ac:dyDescent="0.25">
      <c r="B38" s="40" t="e">
        <v>#N/A</v>
      </c>
      <c r="C38" s="60">
        <f>SUMIFS(TablaIngresos[Ingreso Neto],TablaIngresos[Categoría],B38,TablaIngresos[Fecha],"&gt;="&amp;$C$20,TablaIngresos[Fecha],"&lt;="&amp;$C$21)</f>
        <v>0</v>
      </c>
      <c r="D38" s="60">
        <f>SUMIFS(TablaIngresos[Ingreso Neto],TablaIngresos[Categoría],B38,TablaIngresos[Fecha],"&gt;="&amp;$D$20,TablaIngresos[Fecha],"&lt;="&amp;$D$21)</f>
        <v>0</v>
      </c>
      <c r="E38" s="60">
        <f>SUMIFS(TablaIngresos[Ingreso Neto],TablaIngresos[Categoría],B38,TablaIngresos[Fecha],"&gt;="&amp;$E$20,TablaIngresos[Fecha],"&lt;="&amp;$E$21)</f>
        <v>0</v>
      </c>
      <c r="F38" s="60">
        <f>SUMIFS(TablaIngresos[Ingreso Neto],TablaIngresos[Categoría],B38,TablaIngresos[Fecha],"&gt;="&amp;$F$20,TablaIngresos[Fecha],"&lt;="&amp;$F$21)</f>
        <v>0</v>
      </c>
      <c r="G38" s="60">
        <f>SUMIFS(TablaIngresos[Ingreso Neto],TablaIngresos[Categoría],B38,TablaIngresos[Fecha],"&gt;="&amp;$G$20,TablaIngresos[Fecha],"&lt;="&amp;$G$21)</f>
        <v>0</v>
      </c>
      <c r="H38" s="60">
        <f>SUMIFS(TablaIngresos[Ingreso Neto],TablaIngresos[Categoría],B38,TablaIngresos[Fecha],"&gt;="&amp;$H$20,TablaIngresos[Fecha],"&lt;="&amp;$H$21)</f>
        <v>0</v>
      </c>
      <c r="I38" s="60">
        <f>SUMIFS(TablaIngresos[Ingreso Neto],TablaIngresos[Categoría],B38,TablaIngresos[Fecha],"&gt;="&amp;$I$20,TablaIngresos[Fecha],"&lt;="&amp;$I$21)</f>
        <v>0</v>
      </c>
      <c r="J38" s="60">
        <f>SUMIFS(TablaIngresos[Ingreso Neto],TablaIngresos[Categoría],B38,TablaIngresos[Fecha],"&gt;="&amp;$J$20,TablaIngresos[Fecha],"&lt;="&amp;$J$21)</f>
        <v>0</v>
      </c>
      <c r="K38" s="60">
        <f>SUMIFS(TablaIngresos[Ingreso Neto],TablaIngresos[Categoría],B38,TablaIngresos[Fecha],"&gt;="&amp;$K$20,TablaIngresos[Fecha],"&lt;="&amp;$K$21)</f>
        <v>0</v>
      </c>
      <c r="L38" s="60">
        <f>SUMIFS(TablaIngresos[Ingreso Neto],TablaIngresos[Categoría],B38,TablaIngresos[Fecha],"&gt;="&amp;$L$20,TablaIngresos[Fecha],"&lt;="&amp;$L$21)</f>
        <v>0</v>
      </c>
      <c r="M38" s="60">
        <f>SUMIFS(TablaIngresos[Ingreso Neto],TablaIngresos[Categoría],B38,TablaIngresos[Fecha],"&gt;="&amp;$M$20,TablaIngresos[Fecha],"&lt;="&amp;$M$21)</f>
        <v>0</v>
      </c>
      <c r="N38" s="60">
        <f>SUMIFS(TablaIngresos[Ingreso Neto],TablaIngresos[Categoría],B38,TablaIngresos[Fecha],"&gt;="&amp;$N$20,TablaIngresos[Fecha],"&lt;="&amp;$N$21)</f>
        <v>0</v>
      </c>
    </row>
    <row r="39" spans="2:14" ht="20.100000000000001" customHeight="1" x14ac:dyDescent="0.25">
      <c r="B39" s="40" t="e">
        <v>#N/A</v>
      </c>
      <c r="C39" s="60">
        <f>SUMIFS(TablaIngresos[Ingreso Neto],TablaIngresos[Categoría],B39,TablaIngresos[Fecha],"&gt;="&amp;$C$20,TablaIngresos[Fecha],"&lt;="&amp;$C$21)</f>
        <v>0</v>
      </c>
      <c r="D39" s="60">
        <f>SUMIFS(TablaIngresos[Ingreso Neto],TablaIngresos[Categoría],B39,TablaIngresos[Fecha],"&gt;="&amp;$D$20,TablaIngresos[Fecha],"&lt;="&amp;$D$21)</f>
        <v>0</v>
      </c>
      <c r="E39" s="60">
        <f>SUMIFS(TablaIngresos[Ingreso Neto],TablaIngresos[Categoría],B39,TablaIngresos[Fecha],"&gt;="&amp;$E$20,TablaIngresos[Fecha],"&lt;="&amp;$E$21)</f>
        <v>0</v>
      </c>
      <c r="F39" s="60">
        <f>SUMIFS(TablaIngresos[Ingreso Neto],TablaIngresos[Categoría],B39,TablaIngresos[Fecha],"&gt;="&amp;$F$20,TablaIngresos[Fecha],"&lt;="&amp;$F$21)</f>
        <v>0</v>
      </c>
      <c r="G39" s="60">
        <f>SUMIFS(TablaIngresos[Ingreso Neto],TablaIngresos[Categoría],B39,TablaIngresos[Fecha],"&gt;="&amp;$G$20,TablaIngresos[Fecha],"&lt;="&amp;$G$21)</f>
        <v>0</v>
      </c>
      <c r="H39" s="60">
        <f>SUMIFS(TablaIngresos[Ingreso Neto],TablaIngresos[Categoría],B39,TablaIngresos[Fecha],"&gt;="&amp;$H$20,TablaIngresos[Fecha],"&lt;="&amp;$H$21)</f>
        <v>0</v>
      </c>
      <c r="I39" s="60">
        <f>SUMIFS(TablaIngresos[Ingreso Neto],TablaIngresos[Categoría],B39,TablaIngresos[Fecha],"&gt;="&amp;$I$20,TablaIngresos[Fecha],"&lt;="&amp;$I$21)</f>
        <v>0</v>
      </c>
      <c r="J39" s="60">
        <f>SUMIFS(TablaIngresos[Ingreso Neto],TablaIngresos[Categoría],B39,TablaIngresos[Fecha],"&gt;="&amp;$J$20,TablaIngresos[Fecha],"&lt;="&amp;$J$21)</f>
        <v>0</v>
      </c>
      <c r="K39" s="60">
        <f>SUMIFS(TablaIngresos[Ingreso Neto],TablaIngresos[Categoría],B39,TablaIngresos[Fecha],"&gt;="&amp;$K$20,TablaIngresos[Fecha],"&lt;="&amp;$K$21)</f>
        <v>0</v>
      </c>
      <c r="L39" s="60">
        <f>SUMIFS(TablaIngresos[Ingreso Neto],TablaIngresos[Categoría],B39,TablaIngresos[Fecha],"&gt;="&amp;$L$20,TablaIngresos[Fecha],"&lt;="&amp;$L$21)</f>
        <v>0</v>
      </c>
      <c r="M39" s="60">
        <f>SUMIFS(TablaIngresos[Ingreso Neto],TablaIngresos[Categoría],B39,TablaIngresos[Fecha],"&gt;="&amp;$M$20,TablaIngresos[Fecha],"&lt;="&amp;$M$21)</f>
        <v>0</v>
      </c>
      <c r="N39" s="60">
        <f>SUMIFS(TablaIngresos[Ingreso Neto],TablaIngresos[Categoría],B39,TablaIngresos[Fecha],"&gt;="&amp;$N$20,TablaIngresos[Fecha],"&lt;="&amp;$N$21)</f>
        <v>0</v>
      </c>
    </row>
    <row r="40" spans="2:14" ht="20.100000000000001" customHeight="1" x14ac:dyDescent="0.25">
      <c r="B40" s="40" t="e">
        <v>#N/A</v>
      </c>
      <c r="C40" s="60">
        <f>SUMIFS(TablaIngresos[Ingreso Neto],TablaIngresos[Categoría],B40,TablaIngresos[Fecha],"&gt;="&amp;$C$20,TablaIngresos[Fecha],"&lt;="&amp;$C$21)</f>
        <v>0</v>
      </c>
      <c r="D40" s="60">
        <f>SUMIFS(TablaIngresos[Ingreso Neto],TablaIngresos[Categoría],B40,TablaIngresos[Fecha],"&gt;="&amp;$D$20,TablaIngresos[Fecha],"&lt;="&amp;$D$21)</f>
        <v>0</v>
      </c>
      <c r="E40" s="60">
        <f>SUMIFS(TablaIngresos[Ingreso Neto],TablaIngresos[Categoría],B40,TablaIngresos[Fecha],"&gt;="&amp;$E$20,TablaIngresos[Fecha],"&lt;="&amp;$E$21)</f>
        <v>0</v>
      </c>
      <c r="F40" s="60">
        <f>SUMIFS(TablaIngresos[Ingreso Neto],TablaIngresos[Categoría],B40,TablaIngresos[Fecha],"&gt;="&amp;$F$20,TablaIngresos[Fecha],"&lt;="&amp;$F$21)</f>
        <v>0</v>
      </c>
      <c r="G40" s="60">
        <f>SUMIFS(TablaIngresos[Ingreso Neto],TablaIngresos[Categoría],B40,TablaIngresos[Fecha],"&gt;="&amp;$G$20,TablaIngresos[Fecha],"&lt;="&amp;$G$21)</f>
        <v>0</v>
      </c>
      <c r="H40" s="60">
        <f>SUMIFS(TablaIngresos[Ingreso Neto],TablaIngresos[Categoría],B40,TablaIngresos[Fecha],"&gt;="&amp;$H$20,TablaIngresos[Fecha],"&lt;="&amp;$H$21)</f>
        <v>0</v>
      </c>
      <c r="I40" s="60">
        <f>SUMIFS(TablaIngresos[Ingreso Neto],TablaIngresos[Categoría],B40,TablaIngresos[Fecha],"&gt;="&amp;$I$20,TablaIngresos[Fecha],"&lt;="&amp;$I$21)</f>
        <v>0</v>
      </c>
      <c r="J40" s="60">
        <f>SUMIFS(TablaIngresos[Ingreso Neto],TablaIngresos[Categoría],B40,TablaIngresos[Fecha],"&gt;="&amp;$J$20,TablaIngresos[Fecha],"&lt;="&amp;$J$21)</f>
        <v>0</v>
      </c>
      <c r="K40" s="60">
        <f>SUMIFS(TablaIngresos[Ingreso Neto],TablaIngresos[Categoría],B40,TablaIngresos[Fecha],"&gt;="&amp;$K$20,TablaIngresos[Fecha],"&lt;="&amp;$K$21)</f>
        <v>0</v>
      </c>
      <c r="L40" s="60">
        <f>SUMIFS(TablaIngresos[Ingreso Neto],TablaIngresos[Categoría],B40,TablaIngresos[Fecha],"&gt;="&amp;$L$20,TablaIngresos[Fecha],"&lt;="&amp;$L$21)</f>
        <v>0</v>
      </c>
      <c r="M40" s="60">
        <f>SUMIFS(TablaIngresos[Ingreso Neto],TablaIngresos[Categoría],B40,TablaIngresos[Fecha],"&gt;="&amp;$M$20,TablaIngresos[Fecha],"&lt;="&amp;$M$21)</f>
        <v>0</v>
      </c>
      <c r="N40" s="60">
        <f>SUMIFS(TablaIngresos[Ingreso Neto],TablaIngresos[Categoría],B40,TablaIngresos[Fecha],"&gt;="&amp;$N$20,TablaIngresos[Fecha],"&lt;="&amp;$N$21)</f>
        <v>0</v>
      </c>
    </row>
    <row r="41" spans="2:14" ht="20.100000000000001" customHeight="1" x14ac:dyDescent="0.25">
      <c r="B41" s="40" t="e">
        <v>#N/A</v>
      </c>
      <c r="C41" s="60">
        <f>SUMIFS(TablaIngresos[Ingreso Neto],TablaIngresos[Categoría],B41,TablaIngresos[Fecha],"&gt;="&amp;$C$20,TablaIngresos[Fecha],"&lt;="&amp;$C$21)</f>
        <v>0</v>
      </c>
      <c r="D41" s="60">
        <f>SUMIFS(TablaIngresos[Ingreso Neto],TablaIngresos[Categoría],B41,TablaIngresos[Fecha],"&gt;="&amp;$D$20,TablaIngresos[Fecha],"&lt;="&amp;$D$21)</f>
        <v>0</v>
      </c>
      <c r="E41" s="60">
        <f>SUMIFS(TablaIngresos[Ingreso Neto],TablaIngresos[Categoría],B41,TablaIngresos[Fecha],"&gt;="&amp;$E$20,TablaIngresos[Fecha],"&lt;="&amp;$E$21)</f>
        <v>0</v>
      </c>
      <c r="F41" s="60">
        <f>SUMIFS(TablaIngresos[Ingreso Neto],TablaIngresos[Categoría],B41,TablaIngresos[Fecha],"&gt;="&amp;$F$20,TablaIngresos[Fecha],"&lt;="&amp;$F$21)</f>
        <v>0</v>
      </c>
      <c r="G41" s="60">
        <f>SUMIFS(TablaIngresos[Ingreso Neto],TablaIngresos[Categoría],B41,TablaIngresos[Fecha],"&gt;="&amp;$G$20,TablaIngresos[Fecha],"&lt;="&amp;$G$21)</f>
        <v>0</v>
      </c>
      <c r="H41" s="60">
        <f>SUMIFS(TablaIngresos[Ingreso Neto],TablaIngresos[Categoría],B41,TablaIngresos[Fecha],"&gt;="&amp;$H$20,TablaIngresos[Fecha],"&lt;="&amp;$H$21)</f>
        <v>0</v>
      </c>
      <c r="I41" s="60">
        <f>SUMIFS(TablaIngresos[Ingreso Neto],TablaIngresos[Categoría],B41,TablaIngresos[Fecha],"&gt;="&amp;$I$20,TablaIngresos[Fecha],"&lt;="&amp;$I$21)</f>
        <v>0</v>
      </c>
      <c r="J41" s="60">
        <f>SUMIFS(TablaIngresos[Ingreso Neto],TablaIngresos[Categoría],B41,TablaIngresos[Fecha],"&gt;="&amp;$J$20,TablaIngresos[Fecha],"&lt;="&amp;$J$21)</f>
        <v>0</v>
      </c>
      <c r="K41" s="60">
        <f>SUMIFS(TablaIngresos[Ingreso Neto],TablaIngresos[Categoría],B41,TablaIngresos[Fecha],"&gt;="&amp;$K$20,TablaIngresos[Fecha],"&lt;="&amp;$K$21)</f>
        <v>0</v>
      </c>
      <c r="L41" s="60">
        <f>SUMIFS(TablaIngresos[Ingreso Neto],TablaIngresos[Categoría],B41,TablaIngresos[Fecha],"&gt;="&amp;$L$20,TablaIngresos[Fecha],"&lt;="&amp;$L$21)</f>
        <v>0</v>
      </c>
      <c r="M41" s="60">
        <f>SUMIFS(TablaIngresos[Ingreso Neto],TablaIngresos[Categoría],B41,TablaIngresos[Fecha],"&gt;="&amp;$M$20,TablaIngresos[Fecha],"&lt;="&amp;$M$21)</f>
        <v>0</v>
      </c>
      <c r="N41" s="60">
        <f>SUMIFS(TablaIngresos[Ingreso Neto],TablaIngresos[Categoría],B41,TablaIngresos[Fecha],"&gt;="&amp;$N$20,TablaIngresos[Fecha],"&lt;="&amp;$N$21)</f>
        <v>0</v>
      </c>
    </row>
    <row r="42" spans="2:14" ht="20.100000000000001" customHeight="1" x14ac:dyDescent="0.25">
      <c r="B42" s="40" t="e">
        <v>#N/A</v>
      </c>
      <c r="C42" s="60">
        <f>SUMIFS(TablaIngresos[Ingreso Neto],TablaIngresos[Categoría],B42,TablaIngresos[Fecha],"&gt;="&amp;$C$20,TablaIngresos[Fecha],"&lt;="&amp;$C$21)</f>
        <v>0</v>
      </c>
      <c r="D42" s="60">
        <f>SUMIFS(TablaIngresos[Ingreso Neto],TablaIngresos[Categoría],B42,TablaIngresos[Fecha],"&gt;="&amp;$D$20,TablaIngresos[Fecha],"&lt;="&amp;$D$21)</f>
        <v>0</v>
      </c>
      <c r="E42" s="60">
        <f>SUMIFS(TablaIngresos[Ingreso Neto],TablaIngresos[Categoría],B42,TablaIngresos[Fecha],"&gt;="&amp;$E$20,TablaIngresos[Fecha],"&lt;="&amp;$E$21)</f>
        <v>0</v>
      </c>
      <c r="F42" s="60">
        <f>SUMIFS(TablaIngresos[Ingreso Neto],TablaIngresos[Categoría],B42,TablaIngresos[Fecha],"&gt;="&amp;$F$20,TablaIngresos[Fecha],"&lt;="&amp;$F$21)</f>
        <v>0</v>
      </c>
      <c r="G42" s="60">
        <f>SUMIFS(TablaIngresos[Ingreso Neto],TablaIngresos[Categoría],B42,TablaIngresos[Fecha],"&gt;="&amp;$G$20,TablaIngresos[Fecha],"&lt;="&amp;$G$21)</f>
        <v>0</v>
      </c>
      <c r="H42" s="60">
        <f>SUMIFS(TablaIngresos[Ingreso Neto],TablaIngresos[Categoría],B42,TablaIngresos[Fecha],"&gt;="&amp;$H$20,TablaIngresos[Fecha],"&lt;="&amp;$H$21)</f>
        <v>0</v>
      </c>
      <c r="I42" s="60">
        <f>SUMIFS(TablaIngresos[Ingreso Neto],TablaIngresos[Categoría],B42,TablaIngresos[Fecha],"&gt;="&amp;$I$20,TablaIngresos[Fecha],"&lt;="&amp;$I$21)</f>
        <v>0</v>
      </c>
      <c r="J42" s="60">
        <f>SUMIFS(TablaIngresos[Ingreso Neto],TablaIngresos[Categoría],B42,TablaIngresos[Fecha],"&gt;="&amp;$J$20,TablaIngresos[Fecha],"&lt;="&amp;$J$21)</f>
        <v>0</v>
      </c>
      <c r="K42" s="60">
        <f>SUMIFS(TablaIngresos[Ingreso Neto],TablaIngresos[Categoría],B42,TablaIngresos[Fecha],"&gt;="&amp;$K$20,TablaIngresos[Fecha],"&lt;="&amp;$K$21)</f>
        <v>0</v>
      </c>
      <c r="L42" s="60">
        <f>SUMIFS(TablaIngresos[Ingreso Neto],TablaIngresos[Categoría],B42,TablaIngresos[Fecha],"&gt;="&amp;$L$20,TablaIngresos[Fecha],"&lt;="&amp;$L$21)</f>
        <v>0</v>
      </c>
      <c r="M42" s="60">
        <f>SUMIFS(TablaIngresos[Ingreso Neto],TablaIngresos[Categoría],B42,TablaIngresos[Fecha],"&gt;="&amp;$M$20,TablaIngresos[Fecha],"&lt;="&amp;$M$21)</f>
        <v>0</v>
      </c>
      <c r="N42" s="60">
        <f>SUMIFS(TablaIngresos[Ingreso Neto],TablaIngresos[Categoría],B42,TablaIngresos[Fecha],"&gt;="&amp;$N$20,TablaIngresos[Fecha],"&lt;="&amp;$N$21)</f>
        <v>0</v>
      </c>
    </row>
    <row r="43" spans="2:14" ht="20.100000000000001" customHeight="1" x14ac:dyDescent="0.25">
      <c r="B43" s="40" t="e">
        <v>#N/A</v>
      </c>
      <c r="C43" s="60">
        <f>SUMIFS(TablaIngresos[Ingreso Neto],TablaIngresos[Categoría],B43,TablaIngresos[Fecha],"&gt;="&amp;$C$20,TablaIngresos[Fecha],"&lt;="&amp;$C$21)</f>
        <v>0</v>
      </c>
      <c r="D43" s="60">
        <f>SUMIFS(TablaIngresos[Ingreso Neto],TablaIngresos[Categoría],B43,TablaIngresos[Fecha],"&gt;="&amp;$D$20,TablaIngresos[Fecha],"&lt;="&amp;$D$21)</f>
        <v>0</v>
      </c>
      <c r="E43" s="60">
        <f>SUMIFS(TablaIngresos[Ingreso Neto],TablaIngresos[Categoría],B43,TablaIngresos[Fecha],"&gt;="&amp;$E$20,TablaIngresos[Fecha],"&lt;="&amp;$E$21)</f>
        <v>0</v>
      </c>
      <c r="F43" s="60">
        <f>SUMIFS(TablaIngresos[Ingreso Neto],TablaIngresos[Categoría],B43,TablaIngresos[Fecha],"&gt;="&amp;$F$20,TablaIngresos[Fecha],"&lt;="&amp;$F$21)</f>
        <v>0</v>
      </c>
      <c r="G43" s="60">
        <f>SUMIFS(TablaIngresos[Ingreso Neto],TablaIngresos[Categoría],B43,TablaIngresos[Fecha],"&gt;="&amp;$G$20,TablaIngresos[Fecha],"&lt;="&amp;$G$21)</f>
        <v>0</v>
      </c>
      <c r="H43" s="60">
        <f>SUMIFS(TablaIngresos[Ingreso Neto],TablaIngresos[Categoría],B43,TablaIngresos[Fecha],"&gt;="&amp;$H$20,TablaIngresos[Fecha],"&lt;="&amp;$H$21)</f>
        <v>0</v>
      </c>
      <c r="I43" s="60">
        <f>SUMIFS(TablaIngresos[Ingreso Neto],TablaIngresos[Categoría],B43,TablaIngresos[Fecha],"&gt;="&amp;$I$20,TablaIngresos[Fecha],"&lt;="&amp;$I$21)</f>
        <v>0</v>
      </c>
      <c r="J43" s="60">
        <f>SUMIFS(TablaIngresos[Ingreso Neto],TablaIngresos[Categoría],B43,TablaIngresos[Fecha],"&gt;="&amp;$J$20,TablaIngresos[Fecha],"&lt;="&amp;$J$21)</f>
        <v>0</v>
      </c>
      <c r="K43" s="60">
        <f>SUMIFS(TablaIngresos[Ingreso Neto],TablaIngresos[Categoría],B43,TablaIngresos[Fecha],"&gt;="&amp;$K$20,TablaIngresos[Fecha],"&lt;="&amp;$K$21)</f>
        <v>0</v>
      </c>
      <c r="L43" s="60">
        <f>SUMIFS(TablaIngresos[Ingreso Neto],TablaIngresos[Categoría],B43,TablaIngresos[Fecha],"&gt;="&amp;$L$20,TablaIngresos[Fecha],"&lt;="&amp;$L$21)</f>
        <v>0</v>
      </c>
      <c r="M43" s="60">
        <f>SUMIFS(TablaIngresos[Ingreso Neto],TablaIngresos[Categoría],B43,TablaIngresos[Fecha],"&gt;="&amp;$M$20,TablaIngresos[Fecha],"&lt;="&amp;$M$21)</f>
        <v>0</v>
      </c>
      <c r="N43" s="60">
        <f>SUMIFS(TablaIngresos[Ingreso Neto],TablaIngresos[Categoría],B43,TablaIngresos[Fecha],"&gt;="&amp;$N$20,TablaIngresos[Fecha],"&lt;="&amp;$N$21)</f>
        <v>0</v>
      </c>
    </row>
    <row r="44" spans="2:14" ht="20.100000000000001" customHeight="1" x14ac:dyDescent="0.25">
      <c r="B44" s="40" t="e">
        <v>#N/A</v>
      </c>
      <c r="C44" s="60">
        <f>SUMIFS(TablaIngresos[Ingreso Neto],TablaIngresos[Categoría],B44,TablaIngresos[Fecha],"&gt;="&amp;$C$20,TablaIngresos[Fecha],"&lt;="&amp;$C$21)</f>
        <v>0</v>
      </c>
      <c r="D44" s="60">
        <f>SUMIFS(TablaIngresos[Ingreso Neto],TablaIngresos[Categoría],B44,TablaIngresos[Fecha],"&gt;="&amp;$D$20,TablaIngresos[Fecha],"&lt;="&amp;$D$21)</f>
        <v>0</v>
      </c>
      <c r="E44" s="60">
        <f>SUMIFS(TablaIngresos[Ingreso Neto],TablaIngresos[Categoría],B44,TablaIngresos[Fecha],"&gt;="&amp;$E$20,TablaIngresos[Fecha],"&lt;="&amp;$E$21)</f>
        <v>0</v>
      </c>
      <c r="F44" s="60">
        <f>SUMIFS(TablaIngresos[Ingreso Neto],TablaIngresos[Categoría],B44,TablaIngresos[Fecha],"&gt;="&amp;$F$20,TablaIngresos[Fecha],"&lt;="&amp;$F$21)</f>
        <v>0</v>
      </c>
      <c r="G44" s="60">
        <f>SUMIFS(TablaIngresos[Ingreso Neto],TablaIngresos[Categoría],B44,TablaIngresos[Fecha],"&gt;="&amp;$G$20,TablaIngresos[Fecha],"&lt;="&amp;$G$21)</f>
        <v>0</v>
      </c>
      <c r="H44" s="60">
        <f>SUMIFS(TablaIngresos[Ingreso Neto],TablaIngresos[Categoría],B44,TablaIngresos[Fecha],"&gt;="&amp;$H$20,TablaIngresos[Fecha],"&lt;="&amp;$H$21)</f>
        <v>0</v>
      </c>
      <c r="I44" s="60">
        <f>SUMIFS(TablaIngresos[Ingreso Neto],TablaIngresos[Categoría],B44,TablaIngresos[Fecha],"&gt;="&amp;$I$20,TablaIngresos[Fecha],"&lt;="&amp;$I$21)</f>
        <v>0</v>
      </c>
      <c r="J44" s="60">
        <f>SUMIFS(TablaIngresos[Ingreso Neto],TablaIngresos[Categoría],B44,TablaIngresos[Fecha],"&gt;="&amp;$J$20,TablaIngresos[Fecha],"&lt;="&amp;$J$21)</f>
        <v>0</v>
      </c>
      <c r="K44" s="60">
        <f>SUMIFS(TablaIngresos[Ingreso Neto],TablaIngresos[Categoría],B44,TablaIngresos[Fecha],"&gt;="&amp;$K$20,TablaIngresos[Fecha],"&lt;="&amp;$K$21)</f>
        <v>0</v>
      </c>
      <c r="L44" s="60">
        <f>SUMIFS(TablaIngresos[Ingreso Neto],TablaIngresos[Categoría],B44,TablaIngresos[Fecha],"&gt;="&amp;$L$20,TablaIngresos[Fecha],"&lt;="&amp;$L$21)</f>
        <v>0</v>
      </c>
      <c r="M44" s="60">
        <f>SUMIFS(TablaIngresos[Ingreso Neto],TablaIngresos[Categoría],B44,TablaIngresos[Fecha],"&gt;="&amp;$M$20,TablaIngresos[Fecha],"&lt;="&amp;$M$21)</f>
        <v>0</v>
      </c>
      <c r="N44" s="60">
        <f>SUMIFS(TablaIngresos[Ingreso Neto],TablaIngresos[Categoría],B44,TablaIngresos[Fecha],"&gt;="&amp;$N$20,TablaIngresos[Fecha],"&lt;="&amp;$N$21)</f>
        <v>0</v>
      </c>
    </row>
    <row r="45" spans="2:14" ht="20.100000000000001" customHeight="1" x14ac:dyDescent="0.25">
      <c r="B45" s="40" t="e">
        <v>#N/A</v>
      </c>
      <c r="C45" s="60">
        <f>SUMIFS(TablaIngresos[Ingreso Neto],TablaIngresos[Categoría],B45,TablaIngresos[Fecha],"&gt;="&amp;$C$20,TablaIngresos[Fecha],"&lt;="&amp;$C$21)</f>
        <v>0</v>
      </c>
      <c r="D45" s="60">
        <f>SUMIFS(TablaIngresos[Ingreso Neto],TablaIngresos[Categoría],B45,TablaIngresos[Fecha],"&gt;="&amp;$D$20,TablaIngresos[Fecha],"&lt;="&amp;$D$21)</f>
        <v>0</v>
      </c>
      <c r="E45" s="60">
        <f>SUMIFS(TablaIngresos[Ingreso Neto],TablaIngresos[Categoría],B45,TablaIngresos[Fecha],"&gt;="&amp;$E$20,TablaIngresos[Fecha],"&lt;="&amp;$E$21)</f>
        <v>0</v>
      </c>
      <c r="F45" s="60">
        <f>SUMIFS(TablaIngresos[Ingreso Neto],TablaIngresos[Categoría],B45,TablaIngresos[Fecha],"&gt;="&amp;$F$20,TablaIngresos[Fecha],"&lt;="&amp;$F$21)</f>
        <v>0</v>
      </c>
      <c r="G45" s="60">
        <f>SUMIFS(TablaIngresos[Ingreso Neto],TablaIngresos[Categoría],B45,TablaIngresos[Fecha],"&gt;="&amp;$G$20,TablaIngresos[Fecha],"&lt;="&amp;$G$21)</f>
        <v>0</v>
      </c>
      <c r="H45" s="60">
        <f>SUMIFS(TablaIngresos[Ingreso Neto],TablaIngresos[Categoría],B45,TablaIngresos[Fecha],"&gt;="&amp;$H$20,TablaIngresos[Fecha],"&lt;="&amp;$H$21)</f>
        <v>0</v>
      </c>
      <c r="I45" s="60">
        <f>SUMIFS(TablaIngresos[Ingreso Neto],TablaIngresos[Categoría],B45,TablaIngresos[Fecha],"&gt;="&amp;$I$20,TablaIngresos[Fecha],"&lt;="&amp;$I$21)</f>
        <v>0</v>
      </c>
      <c r="J45" s="60">
        <f>SUMIFS(TablaIngresos[Ingreso Neto],TablaIngresos[Categoría],B45,TablaIngresos[Fecha],"&gt;="&amp;$J$20,TablaIngresos[Fecha],"&lt;="&amp;$J$21)</f>
        <v>0</v>
      </c>
      <c r="K45" s="60">
        <f>SUMIFS(TablaIngresos[Ingreso Neto],TablaIngresos[Categoría],B45,TablaIngresos[Fecha],"&gt;="&amp;$K$20,TablaIngresos[Fecha],"&lt;="&amp;$K$21)</f>
        <v>0</v>
      </c>
      <c r="L45" s="60">
        <f>SUMIFS(TablaIngresos[Ingreso Neto],TablaIngresos[Categoría],B45,TablaIngresos[Fecha],"&gt;="&amp;$L$20,TablaIngresos[Fecha],"&lt;="&amp;$L$21)</f>
        <v>0</v>
      </c>
      <c r="M45" s="60">
        <f>SUMIFS(TablaIngresos[Ingreso Neto],TablaIngresos[Categoría],B45,TablaIngresos[Fecha],"&gt;="&amp;$M$20,TablaIngresos[Fecha],"&lt;="&amp;$M$21)</f>
        <v>0</v>
      </c>
      <c r="N45" s="60">
        <f>SUMIFS(TablaIngresos[Ingreso Neto],TablaIngresos[Categoría],B45,TablaIngresos[Fecha],"&gt;="&amp;$N$20,TablaIngresos[Fecha],"&lt;="&amp;$N$21)</f>
        <v>0</v>
      </c>
    </row>
    <row r="46" spans="2:14" ht="20.100000000000001" customHeight="1" x14ac:dyDescent="0.25">
      <c r="B46" s="40" t="e">
        <v>#N/A</v>
      </c>
      <c r="C46" s="60">
        <f>SUMIFS(TablaIngresos[Ingreso Neto],TablaIngresos[Categoría],B46,TablaIngresos[Fecha],"&gt;="&amp;$C$20,TablaIngresos[Fecha],"&lt;="&amp;$C$21)</f>
        <v>0</v>
      </c>
      <c r="D46" s="60">
        <f>SUMIFS(TablaIngresos[Ingreso Neto],TablaIngresos[Categoría],B46,TablaIngresos[Fecha],"&gt;="&amp;$D$20,TablaIngresos[Fecha],"&lt;="&amp;$D$21)</f>
        <v>0</v>
      </c>
      <c r="E46" s="60">
        <f>SUMIFS(TablaIngresos[Ingreso Neto],TablaIngresos[Categoría],B46,TablaIngresos[Fecha],"&gt;="&amp;$E$20,TablaIngresos[Fecha],"&lt;="&amp;$E$21)</f>
        <v>0</v>
      </c>
      <c r="F46" s="60">
        <f>SUMIFS(TablaIngresos[Ingreso Neto],TablaIngresos[Categoría],B46,TablaIngresos[Fecha],"&gt;="&amp;$F$20,TablaIngresos[Fecha],"&lt;="&amp;$F$21)</f>
        <v>0</v>
      </c>
      <c r="G46" s="60">
        <f>SUMIFS(TablaIngresos[Ingreso Neto],TablaIngresos[Categoría],B46,TablaIngresos[Fecha],"&gt;="&amp;$G$20,TablaIngresos[Fecha],"&lt;="&amp;$G$21)</f>
        <v>0</v>
      </c>
      <c r="H46" s="60">
        <f>SUMIFS(TablaIngresos[Ingreso Neto],TablaIngresos[Categoría],B46,TablaIngresos[Fecha],"&gt;="&amp;$H$20,TablaIngresos[Fecha],"&lt;="&amp;$H$21)</f>
        <v>0</v>
      </c>
      <c r="I46" s="60">
        <f>SUMIFS(TablaIngresos[Ingreso Neto],TablaIngresos[Categoría],B46,TablaIngresos[Fecha],"&gt;="&amp;$I$20,TablaIngresos[Fecha],"&lt;="&amp;$I$21)</f>
        <v>0</v>
      </c>
      <c r="J46" s="60">
        <f>SUMIFS(TablaIngresos[Ingreso Neto],TablaIngresos[Categoría],B46,TablaIngresos[Fecha],"&gt;="&amp;$J$20,TablaIngresos[Fecha],"&lt;="&amp;$J$21)</f>
        <v>0</v>
      </c>
      <c r="K46" s="60">
        <f>SUMIFS(TablaIngresos[Ingreso Neto],TablaIngresos[Categoría],B46,TablaIngresos[Fecha],"&gt;="&amp;$K$20,TablaIngresos[Fecha],"&lt;="&amp;$K$21)</f>
        <v>0</v>
      </c>
      <c r="L46" s="60">
        <f>SUMIFS(TablaIngresos[Ingreso Neto],TablaIngresos[Categoría],B46,TablaIngresos[Fecha],"&gt;="&amp;$L$20,TablaIngresos[Fecha],"&lt;="&amp;$L$21)</f>
        <v>0</v>
      </c>
      <c r="M46" s="60">
        <f>SUMIFS(TablaIngresos[Ingreso Neto],TablaIngresos[Categoría],B46,TablaIngresos[Fecha],"&gt;="&amp;$M$20,TablaIngresos[Fecha],"&lt;="&amp;$M$21)</f>
        <v>0</v>
      </c>
      <c r="N46" s="60">
        <f>SUMIFS(TablaIngresos[Ingreso Neto],TablaIngresos[Categoría],B46,TablaIngresos[Fecha],"&gt;="&amp;$N$20,TablaIngresos[Fecha],"&lt;="&amp;$N$21)</f>
        <v>0</v>
      </c>
    </row>
    <row r="47" spans="2:14" ht="24.95" customHeight="1" x14ac:dyDescent="0.25">
      <c r="B47" s="73" t="s">
        <v>81</v>
      </c>
      <c r="C47" s="61">
        <f t="shared" ref="C47:N47" si="0">SUM(C22:C46)</f>
        <v>0</v>
      </c>
      <c r="D47" s="61">
        <f t="shared" si="0"/>
        <v>282844485.81999999</v>
      </c>
      <c r="E47" s="61">
        <f t="shared" si="0"/>
        <v>0</v>
      </c>
      <c r="F47" s="61">
        <f t="shared" si="0"/>
        <v>0</v>
      </c>
      <c r="G47" s="61">
        <f t="shared" si="0"/>
        <v>0</v>
      </c>
      <c r="H47" s="61">
        <f t="shared" si="0"/>
        <v>0</v>
      </c>
      <c r="I47" s="61">
        <f t="shared" si="0"/>
        <v>0</v>
      </c>
      <c r="J47" s="61">
        <f t="shared" si="0"/>
        <v>0</v>
      </c>
      <c r="K47" s="61">
        <f t="shared" si="0"/>
        <v>0</v>
      </c>
      <c r="L47" s="61">
        <f t="shared" si="0"/>
        <v>0</v>
      </c>
      <c r="M47" s="61">
        <f t="shared" si="0"/>
        <v>0</v>
      </c>
      <c r="N47" s="61">
        <f t="shared" si="0"/>
        <v>0</v>
      </c>
    </row>
    <row r="48" spans="2:14" ht="20.100000000000001" customHeight="1" x14ac:dyDescent="0.25">
      <c r="B48" s="74" t="s">
        <v>82</v>
      </c>
      <c r="C48" s="60">
        <f>SUMIFS(TablaIngresos[Total Impuesto],TablaIngresos[Fecha],"&gt;="&amp;$C$20,TablaIngresos[Fecha],"&lt;="&amp;$C$21)</f>
        <v>0</v>
      </c>
      <c r="D48" s="60">
        <f>SUMIFS(TablaIngresos[Total Impuesto],TablaIngresos[Fecha],"&gt;="&amp;$D$20,TablaIngresos[Fecha],"&lt;="&amp;$D$21)</f>
        <v>0</v>
      </c>
      <c r="E48" s="60">
        <f>SUMIFS(TablaIngresos[Total Impuesto],TablaIngresos[Fecha],"&gt;="&amp;$E$20,TablaIngresos[Fecha],"&lt;="&amp;$E$21)</f>
        <v>0</v>
      </c>
      <c r="F48" s="60">
        <f>SUMIFS(TablaIngresos[Total Impuesto],TablaIngresos[Fecha],"&gt;="&amp;$F$20,TablaIngresos[Fecha],"&lt;="&amp;$F$21)</f>
        <v>0</v>
      </c>
      <c r="G48" s="60">
        <f>SUMIFS(TablaIngresos[Total Impuesto],TablaIngresos[Fecha],"&gt;="&amp;$G$20,TablaIngresos[Fecha],"&lt;="&amp;$G$21)</f>
        <v>0</v>
      </c>
      <c r="H48" s="60">
        <f>SUMIFS(TablaIngresos[Total Impuesto],TablaIngresos[Fecha],"&gt;="&amp;$H$20,TablaIngresos[Fecha],"&lt;="&amp;$H$21)</f>
        <v>0</v>
      </c>
      <c r="I48" s="60">
        <f>SUMIFS(TablaIngresos[Total Impuesto],TablaIngresos[Fecha],"&gt;="&amp;$I$20,TablaIngresos[Fecha],"&lt;="&amp;$I$21)</f>
        <v>0</v>
      </c>
      <c r="J48" s="60">
        <f>SUMIFS(TablaIngresos[Total Impuesto],TablaIngresos[Fecha],"&gt;="&amp;$J$20,TablaIngresos[Fecha],"&lt;="&amp;$J$21)</f>
        <v>0</v>
      </c>
      <c r="K48" s="60">
        <f>SUMIFS(TablaIngresos[Total Impuesto],TablaIngresos[Fecha],"&gt;="&amp;$K$20,TablaIngresos[Fecha],"&lt;="&amp;$K$21)</f>
        <v>0</v>
      </c>
      <c r="L48" s="60">
        <f>SUMIFS(TablaIngresos[Total Impuesto],TablaIngresos[Fecha],"&gt;="&amp;$L$20,TablaIngresos[Fecha],"&lt;="&amp;$L$21)</f>
        <v>0</v>
      </c>
      <c r="M48" s="60">
        <f>SUMIFS(TablaIngresos[Total Impuesto],TablaIngresos[Fecha],"&gt;="&amp;$M$20,TablaIngresos[Fecha],"&lt;="&amp;$M$21)</f>
        <v>0</v>
      </c>
      <c r="N48" s="60">
        <f>SUMIFS(TablaIngresos[Total Impuesto],TablaIngresos[Fecha],"&gt;="&amp;$N$20,TablaIngresos[Fecha],"&lt;="&amp;$N$21)</f>
        <v>0</v>
      </c>
    </row>
    <row r="49" spans="1:14" s="57" customFormat="1" ht="20.100000000000001" customHeight="1" x14ac:dyDescent="0.25"/>
    <row r="50" spans="1:14" s="57" customFormat="1" ht="20.100000000000001" customHeight="1" x14ac:dyDescent="0.25">
      <c r="B50" s="94"/>
      <c r="C50" s="94"/>
      <c r="D50" s="94"/>
      <c r="E50" s="94"/>
      <c r="F50" s="94"/>
      <c r="G50" s="94"/>
      <c r="H50" s="94"/>
      <c r="I50" s="94"/>
      <c r="J50" s="94"/>
      <c r="K50" s="94"/>
      <c r="L50" s="94"/>
      <c r="M50" s="94"/>
      <c r="N50" s="94"/>
    </row>
    <row r="51" spans="1:14" ht="35.1" customHeight="1" x14ac:dyDescent="0.25">
      <c r="A51" s="91"/>
      <c r="B51" s="204" t="s">
        <v>64</v>
      </c>
      <c r="C51" s="205"/>
      <c r="D51" s="205"/>
      <c r="E51" s="205"/>
      <c r="F51" s="205"/>
      <c r="G51" s="205"/>
      <c r="H51" s="205"/>
      <c r="I51" s="205"/>
      <c r="J51" s="205"/>
      <c r="K51" s="205"/>
      <c r="L51" s="205"/>
      <c r="M51" s="205"/>
      <c r="N51" s="206"/>
    </row>
    <row r="52" spans="1:14" ht="24.95" customHeight="1" x14ac:dyDescent="0.25">
      <c r="A52" s="91"/>
      <c r="B52" s="194" t="s">
        <v>61</v>
      </c>
      <c r="C52" s="63">
        <f>EDATE($B$6,0)</f>
        <v>45597</v>
      </c>
      <c r="D52" s="63">
        <f>EDATE($B$6,1)</f>
        <v>45627</v>
      </c>
      <c r="E52" s="63">
        <f>EDATE($B$6,2)</f>
        <v>45658</v>
      </c>
      <c r="F52" s="63">
        <f>EDATE($B$6,3)</f>
        <v>45689</v>
      </c>
      <c r="G52" s="63">
        <f>EDATE($B$6,4)</f>
        <v>45717</v>
      </c>
      <c r="H52" s="63">
        <f>EDATE($B$6,5)</f>
        <v>45748</v>
      </c>
      <c r="I52" s="63">
        <f>EDATE($B$6,6)</f>
        <v>45778</v>
      </c>
      <c r="J52" s="63">
        <f>EDATE($B$6,7)</f>
        <v>45809</v>
      </c>
      <c r="K52" s="63">
        <f>EDATE($B$6,8)</f>
        <v>45839</v>
      </c>
      <c r="L52" s="63">
        <f>EDATE($B$6,9)</f>
        <v>45870</v>
      </c>
      <c r="M52" s="63">
        <f>EDATE($B$6,10)</f>
        <v>45901</v>
      </c>
      <c r="N52" s="64">
        <f>EDATE($B$6,11)</f>
        <v>45931</v>
      </c>
    </row>
    <row r="53" spans="1:14" ht="24.95" customHeight="1" x14ac:dyDescent="0.25">
      <c r="A53" s="91"/>
      <c r="B53" s="195"/>
      <c r="C53" s="79">
        <f>Configuración!$I$12</f>
        <v>45626</v>
      </c>
      <c r="D53" s="79">
        <f>Configuración!$I$13</f>
        <v>45657</v>
      </c>
      <c r="E53" s="79">
        <f>Configuración!$I$14</f>
        <v>45688</v>
      </c>
      <c r="F53" s="79">
        <f>Configuración!$I$15</f>
        <v>45716</v>
      </c>
      <c r="G53" s="79">
        <f>Configuración!$I$16</f>
        <v>45747</v>
      </c>
      <c r="H53" s="79">
        <f>Configuración!$I$17</f>
        <v>45777</v>
      </c>
      <c r="I53" s="79">
        <f>Configuración!$I$18</f>
        <v>45808</v>
      </c>
      <c r="J53" s="79">
        <f>Configuración!$I$19</f>
        <v>45838</v>
      </c>
      <c r="K53" s="79">
        <f>Configuración!$I$20</f>
        <v>45869</v>
      </c>
      <c r="L53" s="79">
        <f>Configuración!$I$21</f>
        <v>45900</v>
      </c>
      <c r="M53" s="79">
        <f>Configuración!$I$22</f>
        <v>45930</v>
      </c>
      <c r="N53" s="79">
        <f>Configuración!$I$23</f>
        <v>45961</v>
      </c>
    </row>
    <row r="54" spans="1:14" ht="20.100000000000001" customHeight="1" x14ac:dyDescent="0.25">
      <c r="B54" s="42" t="str" cm="1">
        <f t="array" ref="B54:B78">Configuración!E9:E44</f>
        <v>Aditivos</v>
      </c>
      <c r="C54" s="65">
        <f>SUMIFS(TablaEgreso[Egreso Total],TablaEgreso[Categoría],B54,TablaEgreso[Fecha],"&gt;="&amp;$C$52,TablaEgreso[Fecha],"&lt;="&amp;$C$53)</f>
        <v>0</v>
      </c>
      <c r="D54" s="65">
        <f>SUMIFS(TablaEgreso[Egreso Total],TablaEgreso[Categoría],B54,TablaEgreso[Fecha],"&gt;="&amp;$D$52,TablaEgreso[Fecha],"&lt;="&amp;$D$53)</f>
        <v>400000</v>
      </c>
      <c r="E54" s="65">
        <f>SUMIFS(TablaEgreso[Egreso Total],TablaEgreso[Categoría],B54,TablaEgreso[Fecha],"&gt;="&amp;$E$52,TablaEgreso[Fecha],"&lt;="&amp;$E$53)</f>
        <v>0</v>
      </c>
      <c r="F54" s="65">
        <f>SUMIFS(TablaEgreso[Egreso Total],TablaEgreso[Categoría],B54,TablaEgreso[Fecha],"&gt;="&amp;$F$52,TablaEgreso[Fecha],"&lt;="&amp;$F$53)</f>
        <v>0</v>
      </c>
      <c r="G54" s="65">
        <f>SUMIFS(TablaEgreso[Egreso Total],TablaEgreso[Categoría],B54,TablaEgreso[Fecha],"&gt;="&amp;$G$52,TablaEgreso[Fecha],"&lt;="&amp;$G$53)</f>
        <v>0</v>
      </c>
      <c r="H54" s="65">
        <f>SUMIFS(TablaEgreso[Egreso Total],TablaEgreso[Categoría],B54,TablaEgreso[Fecha],"&gt;="&amp;$H$52,TablaEgreso[Fecha],"&lt;="&amp;$H$53)</f>
        <v>0</v>
      </c>
      <c r="I54" s="65">
        <f>SUMIFS(TablaEgreso[Egreso Total],TablaEgreso[Categoría],B54,TablaEgreso[Fecha],"&gt;="&amp;$I$52,TablaEgreso[Fecha],"&lt;="&amp;$I$53)</f>
        <v>0</v>
      </c>
      <c r="J54" s="65">
        <f>SUMIFS(TablaEgreso[Egreso Total],TablaEgreso[Categoría],B54,TablaEgreso[Fecha],"&gt;="&amp;$J$52,TablaEgreso[Fecha],"&lt;="&amp;$J$53)</f>
        <v>0</v>
      </c>
      <c r="K54" s="65">
        <f>SUMIFS(TablaEgreso[Egreso Total],TablaEgreso[Categoría],B54,TablaEgreso[Fecha],"&gt;="&amp;$K$52,TablaEgreso[Fecha],"&lt;="&amp;$K$53)</f>
        <v>0</v>
      </c>
      <c r="L54" s="65">
        <f>SUMIFS(TablaEgreso[Egreso Total],TablaEgreso[Categoría],B54,TablaEgreso[Fecha],"&gt;="&amp;$L$52,TablaEgreso[Fecha],"&lt;="&amp;$L$53)</f>
        <v>0</v>
      </c>
      <c r="M54" s="65">
        <f>SUMIFS(TablaEgreso[Egreso Total],TablaEgreso[Categoría],B54,TablaEgreso[Fecha],"&gt;="&amp;$M$52,TablaEgreso[Fecha],"&lt;="&amp;$M$53)</f>
        <v>0</v>
      </c>
      <c r="N54" s="65">
        <f>SUMIFS(TablaEgreso[Egreso Total],TablaEgreso[Categoría],B54,TablaEgreso[Fecha],"&gt;="&amp;$N$52,TablaEgreso[Fecha],"&lt;="&amp;$N$53)</f>
        <v>0</v>
      </c>
    </row>
    <row r="55" spans="1:14" ht="20.100000000000001" customHeight="1" x14ac:dyDescent="0.25">
      <c r="B55" s="41" t="str">
        <v>Afilado</v>
      </c>
      <c r="C55" s="65">
        <f>SUMIFS(TablaEgreso[Egreso Total],TablaEgreso[Categoría],B55,TablaEgreso[Fecha],"&gt;="&amp;$C$52,TablaEgreso[Fecha],"&lt;="&amp;$C$53)</f>
        <v>0</v>
      </c>
      <c r="D55" s="65">
        <f>SUMIFS(TablaEgreso[Egreso Total],TablaEgreso[Categoría],B55,TablaEgreso[Fecha],"&gt;="&amp;$D$52,TablaEgreso[Fecha],"&lt;="&amp;$D$53)</f>
        <v>83000</v>
      </c>
      <c r="E55" s="65">
        <f>SUMIFS(TablaEgreso[Egreso Total],TablaEgreso[Categoría],B55,TablaEgreso[Fecha],"&gt;="&amp;$E$52,TablaEgreso[Fecha],"&lt;="&amp;$E$53)</f>
        <v>0</v>
      </c>
      <c r="F55" s="65">
        <f>SUMIFS(TablaEgreso[Egreso Total],TablaEgreso[Categoría],B55,TablaEgreso[Fecha],"&gt;="&amp;$F$52,TablaEgreso[Fecha],"&lt;="&amp;$F$53)</f>
        <v>0</v>
      </c>
      <c r="G55" s="65">
        <f>SUMIFS(TablaEgreso[Egreso Total],TablaEgreso[Categoría],B55,TablaEgreso[Fecha],"&gt;="&amp;$G$52,TablaEgreso[Fecha],"&lt;="&amp;$G$53)</f>
        <v>0</v>
      </c>
      <c r="H55" s="65">
        <f>SUMIFS(TablaEgreso[Egreso Total],TablaEgreso[Categoría],B55,TablaEgreso[Fecha],"&gt;="&amp;$H$52,TablaEgreso[Fecha],"&lt;="&amp;$H$53)</f>
        <v>0</v>
      </c>
      <c r="I55" s="65">
        <f>SUMIFS(TablaEgreso[Egreso Total],TablaEgreso[Categoría],B55,TablaEgreso[Fecha],"&gt;="&amp;$I$52,TablaEgreso[Fecha],"&lt;="&amp;$I$53)</f>
        <v>0</v>
      </c>
      <c r="J55" s="65">
        <f>SUMIFS(TablaEgreso[Egreso Total],TablaEgreso[Categoría],B55,TablaEgreso[Fecha],"&gt;="&amp;$J$52,TablaEgreso[Fecha],"&lt;="&amp;$J$53)</f>
        <v>0</v>
      </c>
      <c r="K55" s="65">
        <f>SUMIFS(TablaEgreso[Egreso Total],TablaEgreso[Categoría],B55,TablaEgreso[Fecha],"&gt;="&amp;$K$52,TablaEgreso[Fecha],"&lt;="&amp;$K$53)</f>
        <v>0</v>
      </c>
      <c r="L55" s="65">
        <f>SUMIFS(TablaEgreso[Egreso Total],TablaEgreso[Categoría],B55,TablaEgreso[Fecha],"&gt;="&amp;$L$52,TablaEgreso[Fecha],"&lt;="&amp;$L$53)</f>
        <v>0</v>
      </c>
      <c r="M55" s="65">
        <f>SUMIFS(TablaEgreso[Egreso Total],TablaEgreso[Categoría],B55,TablaEgreso[Fecha],"&gt;="&amp;$M$52,TablaEgreso[Fecha],"&lt;="&amp;$M$53)</f>
        <v>0</v>
      </c>
      <c r="N55" s="65">
        <f>SUMIFS(TablaEgreso[Egreso Total],TablaEgreso[Categoría],B55,TablaEgreso[Fecha],"&gt;="&amp;$N$52,TablaEgreso[Fecha],"&lt;="&amp;$N$53)</f>
        <v>0</v>
      </c>
    </row>
    <row r="56" spans="1:14" ht="20.100000000000001" customHeight="1" x14ac:dyDescent="0.25">
      <c r="B56" s="41" t="str">
        <v>Alimento Granja</v>
      </c>
      <c r="C56" s="65">
        <f>SUMIFS(TablaEgreso[Egreso Total],TablaEgreso[Categoría],B56,TablaEgreso[Fecha],"&gt;="&amp;$C$52,TablaEgreso[Fecha],"&lt;="&amp;$C$53)</f>
        <v>0</v>
      </c>
      <c r="D56" s="65">
        <f>SUMIFS(TablaEgreso[Egreso Total],TablaEgreso[Categoría],B56,TablaEgreso[Fecha],"&gt;="&amp;$D$52,TablaEgreso[Fecha],"&lt;="&amp;$D$53)</f>
        <v>16080353.949999999</v>
      </c>
      <c r="E56" s="65">
        <f>SUMIFS(TablaEgreso[Egreso Total],TablaEgreso[Categoría],B56,TablaEgreso[Fecha],"&gt;="&amp;$E$52,TablaEgreso[Fecha],"&lt;="&amp;$E$53)</f>
        <v>0</v>
      </c>
      <c r="F56" s="65">
        <f>SUMIFS(TablaEgreso[Egreso Total],TablaEgreso[Categoría],B56,TablaEgreso[Fecha],"&gt;="&amp;$F$52,TablaEgreso[Fecha],"&lt;="&amp;$F$53)</f>
        <v>0</v>
      </c>
      <c r="G56" s="65">
        <f>SUMIFS(TablaEgreso[Egreso Total],TablaEgreso[Categoría],B56,TablaEgreso[Fecha],"&gt;="&amp;$G$52,TablaEgreso[Fecha],"&lt;="&amp;$G$53)</f>
        <v>0</v>
      </c>
      <c r="H56" s="65">
        <f>SUMIFS(TablaEgreso[Egreso Total],TablaEgreso[Categoría],B56,TablaEgreso[Fecha],"&gt;="&amp;$H$52,TablaEgreso[Fecha],"&lt;="&amp;$H$53)</f>
        <v>0</v>
      </c>
      <c r="I56" s="65">
        <f>SUMIFS(TablaEgreso[Egreso Total],TablaEgreso[Categoría],B56,TablaEgreso[Fecha],"&gt;="&amp;$I$52,TablaEgreso[Fecha],"&lt;="&amp;$I$53)</f>
        <v>0</v>
      </c>
      <c r="J56" s="65">
        <f>SUMIFS(TablaEgreso[Egreso Total],TablaEgreso[Categoría],B56,TablaEgreso[Fecha],"&gt;="&amp;$J$52,TablaEgreso[Fecha],"&lt;="&amp;$J$53)</f>
        <v>0</v>
      </c>
      <c r="K56" s="65">
        <f>SUMIFS(TablaEgreso[Egreso Total],TablaEgreso[Categoría],B56,TablaEgreso[Fecha],"&gt;="&amp;$K$52,TablaEgreso[Fecha],"&lt;="&amp;$K$53)</f>
        <v>0</v>
      </c>
      <c r="L56" s="65">
        <f>SUMIFS(TablaEgreso[Egreso Total],TablaEgreso[Categoría],B56,TablaEgreso[Fecha],"&gt;="&amp;$L$52,TablaEgreso[Fecha],"&lt;="&amp;$L$53)</f>
        <v>0</v>
      </c>
      <c r="M56" s="65">
        <f>SUMIFS(TablaEgreso[Egreso Total],TablaEgreso[Categoría],B56,TablaEgreso[Fecha],"&gt;="&amp;$M$52,TablaEgreso[Fecha],"&lt;="&amp;$M$53)</f>
        <v>0</v>
      </c>
      <c r="N56" s="65">
        <f>SUMIFS(TablaEgreso[Egreso Total],TablaEgreso[Categoría],B56,TablaEgreso[Fecha],"&gt;="&amp;$N$52,TablaEgreso[Fecha],"&lt;="&amp;$N$53)</f>
        <v>0</v>
      </c>
    </row>
    <row r="57" spans="1:14" ht="20.100000000000001" customHeight="1" x14ac:dyDescent="0.25">
      <c r="B57" s="41" t="str">
        <v>Alquiler</v>
      </c>
      <c r="C57" s="65">
        <f>SUMIFS(TablaEgreso[Egreso Total],TablaEgreso[Categoría],B57,TablaEgreso[Fecha],"&gt;="&amp;$C$52,TablaEgreso[Fecha],"&lt;="&amp;$C$53)</f>
        <v>0</v>
      </c>
      <c r="D57" s="65">
        <f>SUMIFS(TablaEgreso[Egreso Total],TablaEgreso[Categoría],B57,TablaEgreso[Fecha],"&gt;="&amp;$D$52,TablaEgreso[Fecha],"&lt;="&amp;$D$53)</f>
        <v>4095907</v>
      </c>
      <c r="E57" s="65">
        <f>SUMIFS(TablaEgreso[Egreso Total],TablaEgreso[Categoría],B57,TablaEgreso[Fecha],"&gt;="&amp;$E$52,TablaEgreso[Fecha],"&lt;="&amp;$E$53)</f>
        <v>0</v>
      </c>
      <c r="F57" s="65">
        <f>SUMIFS(TablaEgreso[Egreso Total],TablaEgreso[Categoría],B57,TablaEgreso[Fecha],"&gt;="&amp;$F$52,TablaEgreso[Fecha],"&lt;="&amp;$F$53)</f>
        <v>0</v>
      </c>
      <c r="G57" s="65">
        <f>SUMIFS(TablaEgreso[Egreso Total],TablaEgreso[Categoría],B57,TablaEgreso[Fecha],"&gt;="&amp;$G$52,TablaEgreso[Fecha],"&lt;="&amp;$G$53)</f>
        <v>0</v>
      </c>
      <c r="H57" s="65">
        <f>SUMIFS(TablaEgreso[Egreso Total],TablaEgreso[Categoría],B57,TablaEgreso[Fecha],"&gt;="&amp;$H$52,TablaEgreso[Fecha],"&lt;="&amp;$H$53)</f>
        <v>0</v>
      </c>
      <c r="I57" s="65">
        <f>SUMIFS(TablaEgreso[Egreso Total],TablaEgreso[Categoría],B57,TablaEgreso[Fecha],"&gt;="&amp;$I$52,TablaEgreso[Fecha],"&lt;="&amp;$I$53)</f>
        <v>0</v>
      </c>
      <c r="J57" s="65">
        <f>SUMIFS(TablaEgreso[Egreso Total],TablaEgreso[Categoría],B57,TablaEgreso[Fecha],"&gt;="&amp;$J$52,TablaEgreso[Fecha],"&lt;="&amp;$J$53)</f>
        <v>0</v>
      </c>
      <c r="K57" s="65">
        <f>SUMIFS(TablaEgreso[Egreso Total],TablaEgreso[Categoría],B57,TablaEgreso[Fecha],"&gt;="&amp;$K$52,TablaEgreso[Fecha],"&lt;="&amp;$K$53)</f>
        <v>0</v>
      </c>
      <c r="L57" s="65">
        <f>SUMIFS(TablaEgreso[Egreso Total],TablaEgreso[Categoría],B57,TablaEgreso[Fecha],"&gt;="&amp;$L$52,TablaEgreso[Fecha],"&lt;="&amp;$L$53)</f>
        <v>0</v>
      </c>
      <c r="M57" s="65">
        <f>SUMIFS(TablaEgreso[Egreso Total],TablaEgreso[Categoría],B57,TablaEgreso[Fecha],"&gt;="&amp;$M$52,TablaEgreso[Fecha],"&lt;="&amp;$M$53)</f>
        <v>0</v>
      </c>
      <c r="N57" s="65">
        <f>SUMIFS(TablaEgreso[Egreso Total],TablaEgreso[Categoría],B57,TablaEgreso[Fecha],"&gt;="&amp;$N$52,TablaEgreso[Fecha],"&lt;="&amp;$N$53)</f>
        <v>0</v>
      </c>
    </row>
    <row r="58" spans="1:14" ht="20.100000000000001" customHeight="1" x14ac:dyDescent="0.25">
      <c r="B58" s="41" t="str">
        <v>Colaboración</v>
      </c>
      <c r="C58" s="65">
        <f>SUMIFS(TablaEgreso[Egreso Total],TablaEgreso[Categoría],B58,TablaEgreso[Fecha],"&gt;="&amp;$C$52,TablaEgreso[Fecha],"&lt;="&amp;$C$53)</f>
        <v>0</v>
      </c>
      <c r="D58" s="65">
        <f>SUMIFS(TablaEgreso[Egreso Total],TablaEgreso[Categoría],B58,TablaEgreso[Fecha],"&gt;="&amp;$D$52,TablaEgreso[Fecha],"&lt;="&amp;$D$53)</f>
        <v>0</v>
      </c>
      <c r="E58" s="65">
        <f>SUMIFS(TablaEgreso[Egreso Total],TablaEgreso[Categoría],B58,TablaEgreso[Fecha],"&gt;="&amp;$E$52,TablaEgreso[Fecha],"&lt;="&amp;$E$53)</f>
        <v>0</v>
      </c>
      <c r="F58" s="65">
        <f>SUMIFS(TablaEgreso[Egreso Total],TablaEgreso[Categoría],B58,TablaEgreso[Fecha],"&gt;="&amp;$F$52,TablaEgreso[Fecha],"&lt;="&amp;$F$53)</f>
        <v>0</v>
      </c>
      <c r="G58" s="65">
        <f>SUMIFS(TablaEgreso[Egreso Total],TablaEgreso[Categoría],B58,TablaEgreso[Fecha],"&gt;="&amp;$G$52,TablaEgreso[Fecha],"&lt;="&amp;$G$53)</f>
        <v>0</v>
      </c>
      <c r="H58" s="65">
        <f>SUMIFS(TablaEgreso[Egreso Total],TablaEgreso[Categoría],B58,TablaEgreso[Fecha],"&gt;="&amp;$H$52,TablaEgreso[Fecha],"&lt;="&amp;$H$53)</f>
        <v>0</v>
      </c>
      <c r="I58" s="65">
        <f>SUMIFS(TablaEgreso[Egreso Total],TablaEgreso[Categoría],B58,TablaEgreso[Fecha],"&gt;="&amp;$I$52,TablaEgreso[Fecha],"&lt;="&amp;$I$53)</f>
        <v>0</v>
      </c>
      <c r="J58" s="65">
        <f>SUMIFS(TablaEgreso[Egreso Total],TablaEgreso[Categoría],B58,TablaEgreso[Fecha],"&gt;="&amp;$J$52,TablaEgreso[Fecha],"&lt;="&amp;$J$53)</f>
        <v>0</v>
      </c>
      <c r="K58" s="65">
        <f>SUMIFS(TablaEgreso[Egreso Total],TablaEgreso[Categoría],B58,TablaEgreso[Fecha],"&gt;="&amp;$K$52,TablaEgreso[Fecha],"&lt;="&amp;$K$53)</f>
        <v>0</v>
      </c>
      <c r="L58" s="65">
        <f>SUMIFS(TablaEgreso[Egreso Total],TablaEgreso[Categoría],B58,TablaEgreso[Fecha],"&gt;="&amp;$L$52,TablaEgreso[Fecha],"&lt;="&amp;$L$53)</f>
        <v>0</v>
      </c>
      <c r="M58" s="65">
        <f>SUMIFS(TablaEgreso[Egreso Total],TablaEgreso[Categoría],B58,TablaEgreso[Fecha],"&gt;="&amp;$M$52,TablaEgreso[Fecha],"&lt;="&amp;$M$53)</f>
        <v>0</v>
      </c>
      <c r="N58" s="65">
        <f>SUMIFS(TablaEgreso[Egreso Total],TablaEgreso[Categoría],B58,TablaEgreso[Fecha],"&gt;="&amp;$N$52,TablaEgreso[Fecha],"&lt;="&amp;$N$53)</f>
        <v>0</v>
      </c>
    </row>
    <row r="59" spans="1:14" ht="20.100000000000001" customHeight="1" x14ac:dyDescent="0.25">
      <c r="B59" s="41" t="str">
        <v>Combustible</v>
      </c>
      <c r="C59" s="65">
        <f>SUMIFS(TablaEgreso[Egreso Total],TablaEgreso[Categoría],B59,TablaEgreso[Fecha],"&gt;="&amp;$C$52,TablaEgreso[Fecha],"&lt;="&amp;$C$53)</f>
        <v>0</v>
      </c>
      <c r="D59" s="65">
        <f>SUMIFS(TablaEgreso[Egreso Total],TablaEgreso[Categoría],B59,TablaEgreso[Fecha],"&gt;="&amp;$D$52,TablaEgreso[Fecha],"&lt;="&amp;$D$53)</f>
        <v>2931900.49</v>
      </c>
      <c r="E59" s="65">
        <f>SUMIFS(TablaEgreso[Egreso Total],TablaEgreso[Categoría],B59,TablaEgreso[Fecha],"&gt;="&amp;$E$52,TablaEgreso[Fecha],"&lt;="&amp;$E$53)</f>
        <v>0</v>
      </c>
      <c r="F59" s="65">
        <f>SUMIFS(TablaEgreso[Egreso Total],TablaEgreso[Categoría],B59,TablaEgreso[Fecha],"&gt;="&amp;$F$52,TablaEgreso[Fecha],"&lt;="&amp;$F$53)</f>
        <v>0</v>
      </c>
      <c r="G59" s="65">
        <f>SUMIFS(TablaEgreso[Egreso Total],TablaEgreso[Categoría],B59,TablaEgreso[Fecha],"&gt;="&amp;$G$52,TablaEgreso[Fecha],"&lt;="&amp;$G$53)</f>
        <v>0</v>
      </c>
      <c r="H59" s="65">
        <f>SUMIFS(TablaEgreso[Egreso Total],TablaEgreso[Categoría],B59,TablaEgreso[Fecha],"&gt;="&amp;$H$52,TablaEgreso[Fecha],"&lt;="&amp;$H$53)</f>
        <v>0</v>
      </c>
      <c r="I59" s="65">
        <f>SUMIFS(TablaEgreso[Egreso Total],TablaEgreso[Categoría],B59,TablaEgreso[Fecha],"&gt;="&amp;$I$52,TablaEgreso[Fecha],"&lt;="&amp;$I$53)</f>
        <v>0</v>
      </c>
      <c r="J59" s="65">
        <f>SUMIFS(TablaEgreso[Egreso Total],TablaEgreso[Categoría],B59,TablaEgreso[Fecha],"&gt;="&amp;$J$52,TablaEgreso[Fecha],"&lt;="&amp;$J$53)</f>
        <v>0</v>
      </c>
      <c r="K59" s="65">
        <f>SUMIFS(TablaEgreso[Egreso Total],TablaEgreso[Categoría],B59,TablaEgreso[Fecha],"&gt;="&amp;$K$52,TablaEgreso[Fecha],"&lt;="&amp;$K$53)</f>
        <v>0</v>
      </c>
      <c r="L59" s="65">
        <f>SUMIFS(TablaEgreso[Egreso Total],TablaEgreso[Categoría],B59,TablaEgreso[Fecha],"&gt;="&amp;$L$52,TablaEgreso[Fecha],"&lt;="&amp;$L$53)</f>
        <v>0</v>
      </c>
      <c r="M59" s="65">
        <f>SUMIFS(TablaEgreso[Egreso Total],TablaEgreso[Categoría],B59,TablaEgreso[Fecha],"&gt;="&amp;$M$52,TablaEgreso[Fecha],"&lt;="&amp;$M$53)</f>
        <v>0</v>
      </c>
      <c r="N59" s="65">
        <f>SUMIFS(TablaEgreso[Egreso Total],TablaEgreso[Categoría],B59,TablaEgreso[Fecha],"&gt;="&amp;$N$52,TablaEgreso[Fecha],"&lt;="&amp;$N$53)</f>
        <v>0</v>
      </c>
    </row>
    <row r="60" spans="1:14" ht="20.100000000000001" customHeight="1" x14ac:dyDescent="0.25">
      <c r="B60" s="41" t="str">
        <v>Consumo Personal</v>
      </c>
      <c r="C60" s="65">
        <f>SUMIFS(TablaEgreso[Egreso Total],TablaEgreso[Categoría],B60,TablaEgreso[Fecha],"&gt;="&amp;$C$52,TablaEgreso[Fecha],"&lt;="&amp;$C$53)</f>
        <v>0</v>
      </c>
      <c r="D60" s="65">
        <f>SUMIFS(TablaEgreso[Egreso Total],TablaEgreso[Categoría],B60,TablaEgreso[Fecha],"&gt;="&amp;$D$52,TablaEgreso[Fecha],"&lt;="&amp;$D$53)</f>
        <v>109655</v>
      </c>
      <c r="E60" s="65">
        <f>SUMIFS(TablaEgreso[Egreso Total],TablaEgreso[Categoría],B60,TablaEgreso[Fecha],"&gt;="&amp;$E$52,TablaEgreso[Fecha],"&lt;="&amp;$E$53)</f>
        <v>0</v>
      </c>
      <c r="F60" s="65">
        <f>SUMIFS(TablaEgreso[Egreso Total],TablaEgreso[Categoría],B60,TablaEgreso[Fecha],"&gt;="&amp;$F$52,TablaEgreso[Fecha],"&lt;="&amp;$F$53)</f>
        <v>0</v>
      </c>
      <c r="G60" s="65">
        <f>SUMIFS(TablaEgreso[Egreso Total],TablaEgreso[Categoría],B60,TablaEgreso[Fecha],"&gt;="&amp;$G$52,TablaEgreso[Fecha],"&lt;="&amp;$G$53)</f>
        <v>0</v>
      </c>
      <c r="H60" s="65">
        <f>SUMIFS(TablaEgreso[Egreso Total],TablaEgreso[Categoría],B60,TablaEgreso[Fecha],"&gt;="&amp;$H$52,TablaEgreso[Fecha],"&lt;="&amp;$H$53)</f>
        <v>0</v>
      </c>
      <c r="I60" s="65">
        <f>SUMIFS(TablaEgreso[Egreso Total],TablaEgreso[Categoría],B60,TablaEgreso[Fecha],"&gt;="&amp;$I$52,TablaEgreso[Fecha],"&lt;="&amp;$I$53)</f>
        <v>0</v>
      </c>
      <c r="J60" s="65">
        <f>SUMIFS(TablaEgreso[Egreso Total],TablaEgreso[Categoría],B60,TablaEgreso[Fecha],"&gt;="&amp;$J$52,TablaEgreso[Fecha],"&lt;="&amp;$J$53)</f>
        <v>0</v>
      </c>
      <c r="K60" s="65">
        <f>SUMIFS(TablaEgreso[Egreso Total],TablaEgreso[Categoría],B60,TablaEgreso[Fecha],"&gt;="&amp;$K$52,TablaEgreso[Fecha],"&lt;="&amp;$K$53)</f>
        <v>0</v>
      </c>
      <c r="L60" s="65">
        <f>SUMIFS(TablaEgreso[Egreso Total],TablaEgreso[Categoría],B60,TablaEgreso[Fecha],"&gt;="&amp;$L$52,TablaEgreso[Fecha],"&lt;="&amp;$L$53)</f>
        <v>0</v>
      </c>
      <c r="M60" s="65">
        <f>SUMIFS(TablaEgreso[Egreso Total],TablaEgreso[Categoría],B60,TablaEgreso[Fecha],"&gt;="&amp;$M$52,TablaEgreso[Fecha],"&lt;="&amp;$M$53)</f>
        <v>0</v>
      </c>
      <c r="N60" s="65">
        <f>SUMIFS(TablaEgreso[Egreso Total],TablaEgreso[Categoría],B60,TablaEgreso[Fecha],"&gt;="&amp;$N$52,TablaEgreso[Fecha],"&lt;="&amp;$N$53)</f>
        <v>0</v>
      </c>
    </row>
    <row r="61" spans="1:14" ht="20.100000000000001" customHeight="1" x14ac:dyDescent="0.25">
      <c r="B61" s="41" t="str">
        <v>Descartables</v>
      </c>
      <c r="C61" s="65">
        <f>SUMIFS(TablaEgreso[Egreso Total],TablaEgreso[Categoría],B61,TablaEgreso[Fecha],"&gt;="&amp;$C$52,TablaEgreso[Fecha],"&lt;="&amp;$C$53)</f>
        <v>0</v>
      </c>
      <c r="D61" s="65">
        <f>SUMIFS(TablaEgreso[Egreso Total],TablaEgreso[Categoría],B61,TablaEgreso[Fecha],"&gt;="&amp;$D$52,TablaEgreso[Fecha],"&lt;="&amp;$D$53)</f>
        <v>1180705.3700000001</v>
      </c>
      <c r="E61" s="65">
        <f>SUMIFS(TablaEgreso[Egreso Total],TablaEgreso[Categoría],B61,TablaEgreso[Fecha],"&gt;="&amp;$E$52,TablaEgreso[Fecha],"&lt;="&amp;$E$53)</f>
        <v>0</v>
      </c>
      <c r="F61" s="65">
        <f>SUMIFS(TablaEgreso[Egreso Total],TablaEgreso[Categoría],B61,TablaEgreso[Fecha],"&gt;="&amp;$F$52,TablaEgreso[Fecha],"&lt;="&amp;$F$53)</f>
        <v>0</v>
      </c>
      <c r="G61" s="65">
        <f>SUMIFS(TablaEgreso[Egreso Total],TablaEgreso[Categoría],B61,TablaEgreso[Fecha],"&gt;="&amp;$G$52,TablaEgreso[Fecha],"&lt;="&amp;$G$53)</f>
        <v>0</v>
      </c>
      <c r="H61" s="65">
        <f>SUMIFS(TablaEgreso[Egreso Total],TablaEgreso[Categoría],B61,TablaEgreso[Fecha],"&gt;="&amp;$H$52,TablaEgreso[Fecha],"&lt;="&amp;$H$53)</f>
        <v>0</v>
      </c>
      <c r="I61" s="65">
        <f>SUMIFS(TablaEgreso[Egreso Total],TablaEgreso[Categoría],B61,TablaEgreso[Fecha],"&gt;="&amp;$I$52,TablaEgreso[Fecha],"&lt;="&amp;$I$53)</f>
        <v>0</v>
      </c>
      <c r="J61" s="65">
        <f>SUMIFS(TablaEgreso[Egreso Total],TablaEgreso[Categoría],B61,TablaEgreso[Fecha],"&gt;="&amp;$J$52,TablaEgreso[Fecha],"&lt;="&amp;$J$53)</f>
        <v>0</v>
      </c>
      <c r="K61" s="65">
        <f>SUMIFS(TablaEgreso[Egreso Total],TablaEgreso[Categoría],B61,TablaEgreso[Fecha],"&gt;="&amp;$K$52,TablaEgreso[Fecha],"&lt;="&amp;$K$53)</f>
        <v>0</v>
      </c>
      <c r="L61" s="65">
        <f>SUMIFS(TablaEgreso[Egreso Total],TablaEgreso[Categoría],B61,TablaEgreso[Fecha],"&gt;="&amp;$L$52,TablaEgreso[Fecha],"&lt;="&amp;$L$53)</f>
        <v>0</v>
      </c>
      <c r="M61" s="65">
        <f>SUMIFS(TablaEgreso[Egreso Total],TablaEgreso[Categoría],B61,TablaEgreso[Fecha],"&gt;="&amp;$M$52,TablaEgreso[Fecha],"&lt;="&amp;$M$53)</f>
        <v>0</v>
      </c>
      <c r="N61" s="65">
        <f>SUMIFS(TablaEgreso[Egreso Total],TablaEgreso[Categoría],B61,TablaEgreso[Fecha],"&gt;="&amp;$N$52,TablaEgreso[Fecha],"&lt;="&amp;$N$53)</f>
        <v>0</v>
      </c>
    </row>
    <row r="62" spans="1:14" ht="20.100000000000001" customHeight="1" x14ac:dyDescent="0.25">
      <c r="B62" s="41" t="str">
        <v>Desinfección</v>
      </c>
      <c r="C62" s="65">
        <f>SUMIFS(TablaEgreso[Egreso Total],TablaEgreso[Categoría],B62,TablaEgreso[Fecha],"&gt;="&amp;$C$52,TablaEgreso[Fecha],"&lt;="&amp;$C$53)</f>
        <v>0</v>
      </c>
      <c r="D62" s="65">
        <f>SUMIFS(TablaEgreso[Egreso Total],TablaEgreso[Categoría],B62,TablaEgreso[Fecha],"&gt;="&amp;$D$52,TablaEgreso[Fecha],"&lt;="&amp;$D$53)</f>
        <v>0</v>
      </c>
      <c r="E62" s="65">
        <f>SUMIFS(TablaEgreso[Egreso Total],TablaEgreso[Categoría],B62,TablaEgreso[Fecha],"&gt;="&amp;$E$52,TablaEgreso[Fecha],"&lt;="&amp;$E$53)</f>
        <v>0</v>
      </c>
      <c r="F62" s="65">
        <f>SUMIFS(TablaEgreso[Egreso Total],TablaEgreso[Categoría],B62,TablaEgreso[Fecha],"&gt;="&amp;$F$52,TablaEgreso[Fecha],"&lt;="&amp;$F$53)</f>
        <v>0</v>
      </c>
      <c r="G62" s="65">
        <f>SUMIFS(TablaEgreso[Egreso Total],TablaEgreso[Categoría],B62,TablaEgreso[Fecha],"&gt;="&amp;$G$52,TablaEgreso[Fecha],"&lt;="&amp;$G$53)</f>
        <v>0</v>
      </c>
      <c r="H62" s="65">
        <f>SUMIFS(TablaEgreso[Egreso Total],TablaEgreso[Categoría],B62,TablaEgreso[Fecha],"&gt;="&amp;$H$52,TablaEgreso[Fecha],"&lt;="&amp;$H$53)</f>
        <v>0</v>
      </c>
      <c r="I62" s="65">
        <f>SUMIFS(TablaEgreso[Egreso Total],TablaEgreso[Categoría],B62,TablaEgreso[Fecha],"&gt;="&amp;$I$52,TablaEgreso[Fecha],"&lt;="&amp;$I$53)</f>
        <v>0</v>
      </c>
      <c r="J62" s="65">
        <f>SUMIFS(TablaEgreso[Egreso Total],TablaEgreso[Categoría],B62,TablaEgreso[Fecha],"&gt;="&amp;$J$52,TablaEgreso[Fecha],"&lt;="&amp;$J$53)</f>
        <v>0</v>
      </c>
      <c r="K62" s="65">
        <f>SUMIFS(TablaEgreso[Egreso Total],TablaEgreso[Categoría],B62,TablaEgreso[Fecha],"&gt;="&amp;$K$52,TablaEgreso[Fecha],"&lt;="&amp;$K$53)</f>
        <v>0</v>
      </c>
      <c r="L62" s="65">
        <f>SUMIFS(TablaEgreso[Egreso Total],TablaEgreso[Categoría],B62,TablaEgreso[Fecha],"&gt;="&amp;$L$52,TablaEgreso[Fecha],"&lt;="&amp;$L$53)</f>
        <v>0</v>
      </c>
      <c r="M62" s="65">
        <f>SUMIFS(TablaEgreso[Egreso Total],TablaEgreso[Categoría],B62,TablaEgreso[Fecha],"&gt;="&amp;$M$52,TablaEgreso[Fecha],"&lt;="&amp;$M$53)</f>
        <v>0</v>
      </c>
      <c r="N62" s="65">
        <f>SUMIFS(TablaEgreso[Egreso Total],TablaEgreso[Categoría],B62,TablaEgreso[Fecha],"&gt;="&amp;$N$52,TablaEgreso[Fecha],"&lt;="&amp;$N$53)</f>
        <v>0</v>
      </c>
    </row>
    <row r="63" spans="1:14" ht="20.100000000000001" customHeight="1" x14ac:dyDescent="0.25">
      <c r="B63" s="41" t="str">
        <v>Dosis de Inseminación</v>
      </c>
      <c r="C63" s="65">
        <f>SUMIFS(TablaEgreso[Egreso Total],TablaEgreso[Categoría],B63,TablaEgreso[Fecha],"&gt;="&amp;$C$52,TablaEgreso[Fecha],"&lt;="&amp;$C$53)</f>
        <v>0</v>
      </c>
      <c r="D63" s="65">
        <f>SUMIFS(TablaEgreso[Egreso Total],TablaEgreso[Categoría],B63,TablaEgreso[Fecha],"&gt;="&amp;$D$52,TablaEgreso[Fecha],"&lt;="&amp;$D$53)</f>
        <v>587276.73</v>
      </c>
      <c r="E63" s="65">
        <f>SUMIFS(TablaEgreso[Egreso Total],TablaEgreso[Categoría],B63,TablaEgreso[Fecha],"&gt;="&amp;$E$52,TablaEgreso[Fecha],"&lt;="&amp;$E$53)</f>
        <v>0</v>
      </c>
      <c r="F63" s="65">
        <f>SUMIFS(TablaEgreso[Egreso Total],TablaEgreso[Categoría],B63,TablaEgreso[Fecha],"&gt;="&amp;$F$52,TablaEgreso[Fecha],"&lt;="&amp;$F$53)</f>
        <v>0</v>
      </c>
      <c r="G63" s="65">
        <f>SUMIFS(TablaEgreso[Egreso Total],TablaEgreso[Categoría],B63,TablaEgreso[Fecha],"&gt;="&amp;$G$52,TablaEgreso[Fecha],"&lt;="&amp;$G$53)</f>
        <v>0</v>
      </c>
      <c r="H63" s="65">
        <f>SUMIFS(TablaEgreso[Egreso Total],TablaEgreso[Categoría],B63,TablaEgreso[Fecha],"&gt;="&amp;$H$52,TablaEgreso[Fecha],"&lt;="&amp;$H$53)</f>
        <v>0</v>
      </c>
      <c r="I63" s="65">
        <f>SUMIFS(TablaEgreso[Egreso Total],TablaEgreso[Categoría],B63,TablaEgreso[Fecha],"&gt;="&amp;$I$52,TablaEgreso[Fecha],"&lt;="&amp;$I$53)</f>
        <v>0</v>
      </c>
      <c r="J63" s="65">
        <f>SUMIFS(TablaEgreso[Egreso Total],TablaEgreso[Categoría],B63,TablaEgreso[Fecha],"&gt;="&amp;$J$52,TablaEgreso[Fecha],"&lt;="&amp;$J$53)</f>
        <v>0</v>
      </c>
      <c r="K63" s="65">
        <f>SUMIFS(TablaEgreso[Egreso Total],TablaEgreso[Categoría],B63,TablaEgreso[Fecha],"&gt;="&amp;$K$52,TablaEgreso[Fecha],"&lt;="&amp;$K$53)</f>
        <v>0</v>
      </c>
      <c r="L63" s="65">
        <f>SUMIFS(TablaEgreso[Egreso Total],TablaEgreso[Categoría],B63,TablaEgreso[Fecha],"&gt;="&amp;$L$52,TablaEgreso[Fecha],"&lt;="&amp;$L$53)</f>
        <v>0</v>
      </c>
      <c r="M63" s="65">
        <f>SUMIFS(TablaEgreso[Egreso Total],TablaEgreso[Categoría],B63,TablaEgreso[Fecha],"&gt;="&amp;$M$52,TablaEgreso[Fecha],"&lt;="&amp;$M$53)</f>
        <v>0</v>
      </c>
      <c r="N63" s="65">
        <f>SUMIFS(TablaEgreso[Egreso Total],TablaEgreso[Categoría],B63,TablaEgreso[Fecha],"&gt;="&amp;$N$52,TablaEgreso[Fecha],"&lt;="&amp;$N$53)</f>
        <v>0</v>
      </c>
    </row>
    <row r="64" spans="1:14" ht="20.100000000000001" customHeight="1" x14ac:dyDescent="0.25">
      <c r="B64" s="41" t="str">
        <v>Frio Andino</v>
      </c>
      <c r="C64" s="65">
        <f>SUMIFS(TablaEgreso[Egreso Total],TablaEgreso[Categoría],B64,TablaEgreso[Fecha],"&gt;="&amp;$C$52,TablaEgreso[Fecha],"&lt;="&amp;$C$53)</f>
        <v>0</v>
      </c>
      <c r="D64" s="65">
        <f>SUMIFS(TablaEgreso[Egreso Total],TablaEgreso[Categoría],B64,TablaEgreso[Fecha],"&gt;="&amp;$D$52,TablaEgreso[Fecha],"&lt;="&amp;$D$53)</f>
        <v>373446.36</v>
      </c>
      <c r="E64" s="65">
        <f>SUMIFS(TablaEgreso[Egreso Total],TablaEgreso[Categoría],B64,TablaEgreso[Fecha],"&gt;="&amp;$E$52,TablaEgreso[Fecha],"&lt;="&amp;$E$53)</f>
        <v>0</v>
      </c>
      <c r="F64" s="65">
        <f>SUMIFS(TablaEgreso[Egreso Total],TablaEgreso[Categoría],B64,TablaEgreso[Fecha],"&gt;="&amp;$F$52,TablaEgreso[Fecha],"&lt;="&amp;$F$53)</f>
        <v>0</v>
      </c>
      <c r="G64" s="65">
        <f>SUMIFS(TablaEgreso[Egreso Total],TablaEgreso[Categoría],B64,TablaEgreso[Fecha],"&gt;="&amp;$G$52,TablaEgreso[Fecha],"&lt;="&amp;$G$53)</f>
        <v>0</v>
      </c>
      <c r="H64" s="65">
        <f>SUMIFS(TablaEgreso[Egreso Total],TablaEgreso[Categoría],B64,TablaEgreso[Fecha],"&gt;="&amp;$H$52,TablaEgreso[Fecha],"&lt;="&amp;$H$53)</f>
        <v>0</v>
      </c>
      <c r="I64" s="65">
        <f>SUMIFS(TablaEgreso[Egreso Total],TablaEgreso[Categoría],B64,TablaEgreso[Fecha],"&gt;="&amp;$I$52,TablaEgreso[Fecha],"&lt;="&amp;$I$53)</f>
        <v>0</v>
      </c>
      <c r="J64" s="65">
        <f>SUMIFS(TablaEgreso[Egreso Total],TablaEgreso[Categoría],B64,TablaEgreso[Fecha],"&gt;="&amp;$J$52,TablaEgreso[Fecha],"&lt;="&amp;$J$53)</f>
        <v>0</v>
      </c>
      <c r="K64" s="65">
        <f>SUMIFS(TablaEgreso[Egreso Total],TablaEgreso[Categoría],B64,TablaEgreso[Fecha],"&gt;="&amp;$K$52,TablaEgreso[Fecha],"&lt;="&amp;$K$53)</f>
        <v>0</v>
      </c>
      <c r="L64" s="65">
        <f>SUMIFS(TablaEgreso[Egreso Total],TablaEgreso[Categoría],B64,TablaEgreso[Fecha],"&gt;="&amp;$L$52,TablaEgreso[Fecha],"&lt;="&amp;$L$53)</f>
        <v>0</v>
      </c>
      <c r="M64" s="65">
        <f>SUMIFS(TablaEgreso[Egreso Total],TablaEgreso[Categoría],B64,TablaEgreso[Fecha],"&gt;="&amp;$M$52,TablaEgreso[Fecha],"&lt;="&amp;$M$53)</f>
        <v>0</v>
      </c>
      <c r="N64" s="65">
        <f>SUMIFS(TablaEgreso[Egreso Total],TablaEgreso[Categoría],B64,TablaEgreso[Fecha],"&gt;="&amp;$N$52,TablaEgreso[Fecha],"&lt;="&amp;$N$53)</f>
        <v>0</v>
      </c>
    </row>
    <row r="65" spans="2:14" ht="20.100000000000001" customHeight="1" x14ac:dyDescent="0.25">
      <c r="B65" s="41" t="str">
        <v>Gastos Administrativos</v>
      </c>
      <c r="C65" s="65">
        <f>SUMIFS(TablaEgreso[Egreso Total],TablaEgreso[Categoría],B65,TablaEgreso[Fecha],"&gt;="&amp;$C$52,TablaEgreso[Fecha],"&lt;="&amp;$C$53)</f>
        <v>0</v>
      </c>
      <c r="D65" s="65">
        <f>SUMIFS(TablaEgreso[Egreso Total],TablaEgreso[Categoría],B65,TablaEgreso[Fecha],"&gt;="&amp;$D$52,TablaEgreso[Fecha],"&lt;="&amp;$D$53)</f>
        <v>268472.8</v>
      </c>
      <c r="E65" s="65">
        <f>SUMIFS(TablaEgreso[Egreso Total],TablaEgreso[Categoría],B65,TablaEgreso[Fecha],"&gt;="&amp;$E$52,TablaEgreso[Fecha],"&lt;="&amp;$E$53)</f>
        <v>0</v>
      </c>
      <c r="F65" s="65">
        <f>SUMIFS(TablaEgreso[Egreso Total],TablaEgreso[Categoría],B65,TablaEgreso[Fecha],"&gt;="&amp;$F$52,TablaEgreso[Fecha],"&lt;="&amp;$F$53)</f>
        <v>0</v>
      </c>
      <c r="G65" s="65">
        <f>SUMIFS(TablaEgreso[Egreso Total],TablaEgreso[Categoría],B65,TablaEgreso[Fecha],"&gt;="&amp;$G$52,TablaEgreso[Fecha],"&lt;="&amp;$G$53)</f>
        <v>0</v>
      </c>
      <c r="H65" s="65">
        <f>SUMIFS(TablaEgreso[Egreso Total],TablaEgreso[Categoría],B65,TablaEgreso[Fecha],"&gt;="&amp;$H$52,TablaEgreso[Fecha],"&lt;="&amp;$H$53)</f>
        <v>0</v>
      </c>
      <c r="I65" s="65">
        <f>SUMIFS(TablaEgreso[Egreso Total],TablaEgreso[Categoría],B65,TablaEgreso[Fecha],"&gt;="&amp;$I$52,TablaEgreso[Fecha],"&lt;="&amp;$I$53)</f>
        <v>0</v>
      </c>
      <c r="J65" s="65">
        <f>SUMIFS(TablaEgreso[Egreso Total],TablaEgreso[Categoría],B65,TablaEgreso[Fecha],"&gt;="&amp;$J$52,TablaEgreso[Fecha],"&lt;="&amp;$J$53)</f>
        <v>0</v>
      </c>
      <c r="K65" s="65">
        <f>SUMIFS(TablaEgreso[Egreso Total],TablaEgreso[Categoría],B65,TablaEgreso[Fecha],"&gt;="&amp;$K$52,TablaEgreso[Fecha],"&lt;="&amp;$K$53)</f>
        <v>0</v>
      </c>
      <c r="L65" s="65">
        <f>SUMIFS(TablaEgreso[Egreso Total],TablaEgreso[Categoría],B65,TablaEgreso[Fecha],"&gt;="&amp;$L$52,TablaEgreso[Fecha],"&lt;="&amp;$L$53)</f>
        <v>0</v>
      </c>
      <c r="M65" s="65">
        <f>SUMIFS(TablaEgreso[Egreso Total],TablaEgreso[Categoría],B65,TablaEgreso[Fecha],"&gt;="&amp;$M$52,TablaEgreso[Fecha],"&lt;="&amp;$M$53)</f>
        <v>0</v>
      </c>
      <c r="N65" s="65">
        <f>SUMIFS(TablaEgreso[Egreso Total],TablaEgreso[Categoría],B65,TablaEgreso[Fecha],"&gt;="&amp;$N$52,TablaEgreso[Fecha],"&lt;="&amp;$N$53)</f>
        <v>0</v>
      </c>
    </row>
    <row r="66" spans="2:14" ht="20.100000000000001" customHeight="1" x14ac:dyDescent="0.25">
      <c r="B66" s="41" t="str">
        <v>Gastos Bancarios</v>
      </c>
      <c r="C66" s="65">
        <f>SUMIFS(TablaEgreso[Egreso Total],TablaEgreso[Categoría],B66,TablaEgreso[Fecha],"&gt;="&amp;$C$52,TablaEgreso[Fecha],"&lt;="&amp;$C$53)</f>
        <v>0</v>
      </c>
      <c r="D66" s="65">
        <f>SUMIFS(TablaEgreso[Egreso Total],TablaEgreso[Categoría],B66,TablaEgreso[Fecha],"&gt;="&amp;$D$52,TablaEgreso[Fecha],"&lt;="&amp;$D$53)</f>
        <v>133205</v>
      </c>
      <c r="E66" s="65">
        <f>SUMIFS(TablaEgreso[Egreso Total],TablaEgreso[Categoría],B66,TablaEgreso[Fecha],"&gt;="&amp;$E$52,TablaEgreso[Fecha],"&lt;="&amp;$E$53)</f>
        <v>0</v>
      </c>
      <c r="F66" s="65">
        <f>SUMIFS(TablaEgreso[Egreso Total],TablaEgreso[Categoría],B66,TablaEgreso[Fecha],"&gt;="&amp;$F$52,TablaEgreso[Fecha],"&lt;="&amp;$F$53)</f>
        <v>0</v>
      </c>
      <c r="G66" s="65">
        <f>SUMIFS(TablaEgreso[Egreso Total],TablaEgreso[Categoría],B66,TablaEgreso[Fecha],"&gt;="&amp;$G$52,TablaEgreso[Fecha],"&lt;="&amp;$G$53)</f>
        <v>0</v>
      </c>
      <c r="H66" s="65">
        <f>SUMIFS(TablaEgreso[Egreso Total],TablaEgreso[Categoría],B66,TablaEgreso[Fecha],"&gt;="&amp;$H$52,TablaEgreso[Fecha],"&lt;="&amp;$H$53)</f>
        <v>0</v>
      </c>
      <c r="I66" s="65">
        <f>SUMIFS(TablaEgreso[Egreso Total],TablaEgreso[Categoría],B66,TablaEgreso[Fecha],"&gt;="&amp;$I$52,TablaEgreso[Fecha],"&lt;="&amp;$I$53)</f>
        <v>0</v>
      </c>
      <c r="J66" s="65">
        <f>SUMIFS(TablaEgreso[Egreso Total],TablaEgreso[Categoría],B66,TablaEgreso[Fecha],"&gt;="&amp;$J$52,TablaEgreso[Fecha],"&lt;="&amp;$J$53)</f>
        <v>0</v>
      </c>
      <c r="K66" s="65">
        <f>SUMIFS(TablaEgreso[Egreso Total],TablaEgreso[Categoría],B66,TablaEgreso[Fecha],"&gt;="&amp;$K$52,TablaEgreso[Fecha],"&lt;="&amp;$K$53)</f>
        <v>0</v>
      </c>
      <c r="L66" s="65">
        <f>SUMIFS(TablaEgreso[Egreso Total],TablaEgreso[Categoría],B66,TablaEgreso[Fecha],"&gt;="&amp;$L$52,TablaEgreso[Fecha],"&lt;="&amp;$L$53)</f>
        <v>0</v>
      </c>
      <c r="M66" s="65">
        <f>SUMIFS(TablaEgreso[Egreso Total],TablaEgreso[Categoría],B66,TablaEgreso[Fecha],"&gt;="&amp;$M$52,TablaEgreso[Fecha],"&lt;="&amp;$M$53)</f>
        <v>0</v>
      </c>
      <c r="N66" s="65">
        <f>SUMIFS(TablaEgreso[Egreso Total],TablaEgreso[Categoría],B66,TablaEgreso[Fecha],"&gt;="&amp;$N$52,TablaEgreso[Fecha],"&lt;="&amp;$N$53)</f>
        <v>0</v>
      </c>
    </row>
    <row r="67" spans="2:14" ht="20.100000000000001" customHeight="1" x14ac:dyDescent="0.25">
      <c r="B67" s="41" t="str">
        <v>Higiene y Seguridad</v>
      </c>
      <c r="C67" s="65">
        <f>SUMIFS(TablaEgreso[Egreso Total],TablaEgreso[Categoría],B67,TablaEgreso[Fecha],"&gt;="&amp;$C$52,TablaEgreso[Fecha],"&lt;="&amp;$C$53)</f>
        <v>0</v>
      </c>
      <c r="D67" s="65">
        <f>SUMIFS(TablaEgreso[Egreso Total],TablaEgreso[Categoría],B67,TablaEgreso[Fecha],"&gt;="&amp;$D$52,TablaEgreso[Fecha],"&lt;="&amp;$D$53)</f>
        <v>20000</v>
      </c>
      <c r="E67" s="65">
        <f>SUMIFS(TablaEgreso[Egreso Total],TablaEgreso[Categoría],B67,TablaEgreso[Fecha],"&gt;="&amp;$E$52,TablaEgreso[Fecha],"&lt;="&amp;$E$53)</f>
        <v>0</v>
      </c>
      <c r="F67" s="65">
        <f>SUMIFS(TablaEgreso[Egreso Total],TablaEgreso[Categoría],B67,TablaEgreso[Fecha],"&gt;="&amp;$F$52,TablaEgreso[Fecha],"&lt;="&amp;$F$53)</f>
        <v>0</v>
      </c>
      <c r="G67" s="65">
        <f>SUMIFS(TablaEgreso[Egreso Total],TablaEgreso[Categoría],B67,TablaEgreso[Fecha],"&gt;="&amp;$G$52,TablaEgreso[Fecha],"&lt;="&amp;$G$53)</f>
        <v>0</v>
      </c>
      <c r="H67" s="65">
        <f>SUMIFS(TablaEgreso[Egreso Total],TablaEgreso[Categoría],B67,TablaEgreso[Fecha],"&gt;="&amp;$H$52,TablaEgreso[Fecha],"&lt;="&amp;$H$53)</f>
        <v>0</v>
      </c>
      <c r="I67" s="65">
        <f>SUMIFS(TablaEgreso[Egreso Total],TablaEgreso[Categoría],B67,TablaEgreso[Fecha],"&gt;="&amp;$I$52,TablaEgreso[Fecha],"&lt;="&amp;$I$53)</f>
        <v>0</v>
      </c>
      <c r="J67" s="65">
        <f>SUMIFS(TablaEgreso[Egreso Total],TablaEgreso[Categoría],B67,TablaEgreso[Fecha],"&gt;="&amp;$J$52,TablaEgreso[Fecha],"&lt;="&amp;$J$53)</f>
        <v>0</v>
      </c>
      <c r="K67" s="65">
        <f>SUMIFS(TablaEgreso[Egreso Total],TablaEgreso[Categoría],B67,TablaEgreso[Fecha],"&gt;="&amp;$K$52,TablaEgreso[Fecha],"&lt;="&amp;$K$53)</f>
        <v>0</v>
      </c>
      <c r="L67" s="65">
        <f>SUMIFS(TablaEgreso[Egreso Total],TablaEgreso[Categoría],B67,TablaEgreso[Fecha],"&gt;="&amp;$L$52,TablaEgreso[Fecha],"&lt;="&amp;$L$53)</f>
        <v>0</v>
      </c>
      <c r="M67" s="65">
        <f>SUMIFS(TablaEgreso[Egreso Total],TablaEgreso[Categoría],B67,TablaEgreso[Fecha],"&gt;="&amp;$M$52,TablaEgreso[Fecha],"&lt;="&amp;$M$53)</f>
        <v>0</v>
      </c>
      <c r="N67" s="65">
        <f>SUMIFS(TablaEgreso[Egreso Total],TablaEgreso[Categoría],B67,TablaEgreso[Fecha],"&gt;="&amp;$N$52,TablaEgreso[Fecha],"&lt;="&amp;$N$53)</f>
        <v>0</v>
      </c>
    </row>
    <row r="68" spans="2:14" ht="20.100000000000001" customHeight="1" x14ac:dyDescent="0.25">
      <c r="B68" s="41" t="str">
        <v>Honorarios Profesionales</v>
      </c>
      <c r="C68" s="65">
        <f>SUMIFS(TablaEgreso[Egreso Total],TablaEgreso[Categoría],B68,TablaEgreso[Fecha],"&gt;="&amp;$C$52,TablaEgreso[Fecha],"&lt;="&amp;$C$53)</f>
        <v>0</v>
      </c>
      <c r="D68" s="65">
        <f>SUMIFS(TablaEgreso[Egreso Total],TablaEgreso[Categoría],B68,TablaEgreso[Fecha],"&gt;="&amp;$D$52,TablaEgreso[Fecha],"&lt;="&amp;$D$53)</f>
        <v>560000.01599999995</v>
      </c>
      <c r="E68" s="65">
        <f>SUMIFS(TablaEgreso[Egreso Total],TablaEgreso[Categoría],B68,TablaEgreso[Fecha],"&gt;="&amp;$E$52,TablaEgreso[Fecha],"&lt;="&amp;$E$53)</f>
        <v>0</v>
      </c>
      <c r="F68" s="65">
        <f>SUMIFS(TablaEgreso[Egreso Total],TablaEgreso[Categoría],B68,TablaEgreso[Fecha],"&gt;="&amp;$F$52,TablaEgreso[Fecha],"&lt;="&amp;$F$53)</f>
        <v>0</v>
      </c>
      <c r="G68" s="65">
        <f>SUMIFS(TablaEgreso[Egreso Total],TablaEgreso[Categoría],B68,TablaEgreso[Fecha],"&gt;="&amp;$G$52,TablaEgreso[Fecha],"&lt;="&amp;$G$53)</f>
        <v>0</v>
      </c>
      <c r="H68" s="65">
        <f>SUMIFS(TablaEgreso[Egreso Total],TablaEgreso[Categoría],B68,TablaEgreso[Fecha],"&gt;="&amp;$H$52,TablaEgreso[Fecha],"&lt;="&amp;$H$53)</f>
        <v>0</v>
      </c>
      <c r="I68" s="65">
        <f>SUMIFS(TablaEgreso[Egreso Total],TablaEgreso[Categoría],B68,TablaEgreso[Fecha],"&gt;="&amp;$I$52,TablaEgreso[Fecha],"&lt;="&amp;$I$53)</f>
        <v>0</v>
      </c>
      <c r="J68" s="65">
        <f>SUMIFS(TablaEgreso[Egreso Total],TablaEgreso[Categoría],B68,TablaEgreso[Fecha],"&gt;="&amp;$J$52,TablaEgreso[Fecha],"&lt;="&amp;$J$53)</f>
        <v>0</v>
      </c>
      <c r="K68" s="65">
        <f>SUMIFS(TablaEgreso[Egreso Total],TablaEgreso[Categoría],B68,TablaEgreso[Fecha],"&gt;="&amp;$K$52,TablaEgreso[Fecha],"&lt;="&amp;$K$53)</f>
        <v>0</v>
      </c>
      <c r="L68" s="65">
        <f>SUMIFS(TablaEgreso[Egreso Total],TablaEgreso[Categoría],B68,TablaEgreso[Fecha],"&gt;="&amp;$L$52,TablaEgreso[Fecha],"&lt;="&amp;$L$53)</f>
        <v>0</v>
      </c>
      <c r="M68" s="65">
        <f>SUMIFS(TablaEgreso[Egreso Total],TablaEgreso[Categoría],B68,TablaEgreso[Fecha],"&gt;="&amp;$M$52,TablaEgreso[Fecha],"&lt;="&amp;$M$53)</f>
        <v>0</v>
      </c>
      <c r="N68" s="65">
        <f>SUMIFS(TablaEgreso[Egreso Total],TablaEgreso[Categoría],B68,TablaEgreso[Fecha],"&gt;="&amp;$N$52,TablaEgreso[Fecha],"&lt;="&amp;$N$53)</f>
        <v>0</v>
      </c>
    </row>
    <row r="69" spans="2:14" ht="20.100000000000001" customHeight="1" x14ac:dyDescent="0.25">
      <c r="B69" s="41" t="str">
        <v>Indumentaria</v>
      </c>
      <c r="C69" s="65">
        <f>SUMIFS(TablaEgreso[Egreso Total],TablaEgreso[Categoría],B69,TablaEgreso[Fecha],"&gt;="&amp;$C$52,TablaEgreso[Fecha],"&lt;="&amp;$C$53)</f>
        <v>0</v>
      </c>
      <c r="D69" s="65">
        <f>SUMIFS(TablaEgreso[Egreso Total],TablaEgreso[Categoría],B69,TablaEgreso[Fecha],"&gt;="&amp;$D$52,TablaEgreso[Fecha],"&lt;="&amp;$D$53)</f>
        <v>597110.34</v>
      </c>
      <c r="E69" s="65">
        <f>SUMIFS(TablaEgreso[Egreso Total],TablaEgreso[Categoría],B69,TablaEgreso[Fecha],"&gt;="&amp;$E$52,TablaEgreso[Fecha],"&lt;="&amp;$E$53)</f>
        <v>0</v>
      </c>
      <c r="F69" s="65">
        <f>SUMIFS(TablaEgreso[Egreso Total],TablaEgreso[Categoría],B69,TablaEgreso[Fecha],"&gt;="&amp;$F$52,TablaEgreso[Fecha],"&lt;="&amp;$F$53)</f>
        <v>0</v>
      </c>
      <c r="G69" s="65">
        <f>SUMIFS(TablaEgreso[Egreso Total],TablaEgreso[Categoría],B69,TablaEgreso[Fecha],"&gt;="&amp;$G$52,TablaEgreso[Fecha],"&lt;="&amp;$G$53)</f>
        <v>0</v>
      </c>
      <c r="H69" s="65">
        <f>SUMIFS(TablaEgreso[Egreso Total],TablaEgreso[Categoría],B69,TablaEgreso[Fecha],"&gt;="&amp;$H$52,TablaEgreso[Fecha],"&lt;="&amp;$H$53)</f>
        <v>0</v>
      </c>
      <c r="I69" s="65">
        <f>SUMIFS(TablaEgreso[Egreso Total],TablaEgreso[Categoría],B69,TablaEgreso[Fecha],"&gt;="&amp;$I$52,TablaEgreso[Fecha],"&lt;="&amp;$I$53)</f>
        <v>0</v>
      </c>
      <c r="J69" s="65">
        <f>SUMIFS(TablaEgreso[Egreso Total],TablaEgreso[Categoría],B69,TablaEgreso[Fecha],"&gt;="&amp;$J$52,TablaEgreso[Fecha],"&lt;="&amp;$J$53)</f>
        <v>0</v>
      </c>
      <c r="K69" s="65">
        <f>SUMIFS(TablaEgreso[Egreso Total],TablaEgreso[Categoría],B69,TablaEgreso[Fecha],"&gt;="&amp;$K$52,TablaEgreso[Fecha],"&lt;="&amp;$K$53)</f>
        <v>0</v>
      </c>
      <c r="L69" s="65">
        <f>SUMIFS(TablaEgreso[Egreso Total],TablaEgreso[Categoría],B69,TablaEgreso[Fecha],"&gt;="&amp;$L$52,TablaEgreso[Fecha],"&lt;="&amp;$L$53)</f>
        <v>0</v>
      </c>
      <c r="M69" s="65">
        <f>SUMIFS(TablaEgreso[Egreso Total],TablaEgreso[Categoría],B69,TablaEgreso[Fecha],"&gt;="&amp;$M$52,TablaEgreso[Fecha],"&lt;="&amp;$M$53)</f>
        <v>0</v>
      </c>
      <c r="N69" s="65">
        <f>SUMIFS(TablaEgreso[Egreso Total],TablaEgreso[Categoría],B69,TablaEgreso[Fecha],"&gt;="&amp;$N$52,TablaEgreso[Fecha],"&lt;="&amp;$N$53)</f>
        <v>0</v>
      </c>
    </row>
    <row r="70" spans="2:14" ht="20.100000000000001" customHeight="1" x14ac:dyDescent="0.25">
      <c r="B70" s="41" t="str">
        <v>Insumos</v>
      </c>
      <c r="C70" s="65">
        <f>SUMIFS(TablaEgreso[Egreso Total],TablaEgreso[Categoría],B70,TablaEgreso[Fecha],"&gt;="&amp;$C$52,TablaEgreso[Fecha],"&lt;="&amp;$C$53)</f>
        <v>0</v>
      </c>
      <c r="D70" s="65">
        <f>SUMIFS(TablaEgreso[Egreso Total],TablaEgreso[Categoría],B70,TablaEgreso[Fecha],"&gt;="&amp;$D$52,TablaEgreso[Fecha],"&lt;="&amp;$D$53)</f>
        <v>5732468.7399999993</v>
      </c>
      <c r="E70" s="65">
        <f>SUMIFS(TablaEgreso[Egreso Total],TablaEgreso[Categoría],B70,TablaEgreso[Fecha],"&gt;="&amp;$E$52,TablaEgreso[Fecha],"&lt;="&amp;$E$53)</f>
        <v>0</v>
      </c>
      <c r="F70" s="65">
        <f>SUMIFS(TablaEgreso[Egreso Total],TablaEgreso[Categoría],B70,TablaEgreso[Fecha],"&gt;="&amp;$F$52,TablaEgreso[Fecha],"&lt;="&amp;$F$53)</f>
        <v>0</v>
      </c>
      <c r="G70" s="65">
        <f>SUMIFS(TablaEgreso[Egreso Total],TablaEgreso[Categoría],B70,TablaEgreso[Fecha],"&gt;="&amp;$G$52,TablaEgreso[Fecha],"&lt;="&amp;$G$53)</f>
        <v>0</v>
      </c>
      <c r="H70" s="65">
        <f>SUMIFS(TablaEgreso[Egreso Total],TablaEgreso[Categoría],B70,TablaEgreso[Fecha],"&gt;="&amp;$H$52,TablaEgreso[Fecha],"&lt;="&amp;$H$53)</f>
        <v>0</v>
      </c>
      <c r="I70" s="65">
        <f>SUMIFS(TablaEgreso[Egreso Total],TablaEgreso[Categoría],B70,TablaEgreso[Fecha],"&gt;="&amp;$I$52,TablaEgreso[Fecha],"&lt;="&amp;$I$53)</f>
        <v>0</v>
      </c>
      <c r="J70" s="65">
        <f>SUMIFS(TablaEgreso[Egreso Total],TablaEgreso[Categoría],B70,TablaEgreso[Fecha],"&gt;="&amp;$J$52,TablaEgreso[Fecha],"&lt;="&amp;$J$53)</f>
        <v>0</v>
      </c>
      <c r="K70" s="65">
        <f>SUMIFS(TablaEgreso[Egreso Total],TablaEgreso[Categoría],B70,TablaEgreso[Fecha],"&gt;="&amp;$K$52,TablaEgreso[Fecha],"&lt;="&amp;$K$53)</f>
        <v>0</v>
      </c>
      <c r="L70" s="65">
        <f>SUMIFS(TablaEgreso[Egreso Total],TablaEgreso[Categoría],B70,TablaEgreso[Fecha],"&gt;="&amp;$L$52,TablaEgreso[Fecha],"&lt;="&amp;$L$53)</f>
        <v>0</v>
      </c>
      <c r="M70" s="65">
        <f>SUMIFS(TablaEgreso[Egreso Total],TablaEgreso[Categoría],B70,TablaEgreso[Fecha],"&gt;="&amp;$M$52,TablaEgreso[Fecha],"&lt;="&amp;$M$53)</f>
        <v>0</v>
      </c>
      <c r="N70" s="65">
        <f>SUMIFS(TablaEgreso[Egreso Total],TablaEgreso[Categoría],B70,TablaEgreso[Fecha],"&gt;="&amp;$N$52,TablaEgreso[Fecha],"&lt;="&amp;$N$53)</f>
        <v>0</v>
      </c>
    </row>
    <row r="71" spans="2:14" ht="20.100000000000001" customHeight="1" x14ac:dyDescent="0.25">
      <c r="B71" s="41" t="str">
        <v>Laboratorio/Medicamentos/Vacunas granja</v>
      </c>
      <c r="C71" s="65">
        <f>SUMIFS(TablaEgreso[Egreso Total],TablaEgreso[Categoría],B71,TablaEgreso[Fecha],"&gt;="&amp;$C$52,TablaEgreso[Fecha],"&lt;="&amp;$C$53)</f>
        <v>0</v>
      </c>
      <c r="D71" s="65">
        <f>SUMIFS(TablaEgreso[Egreso Total],TablaEgreso[Categoría],B71,TablaEgreso[Fecha],"&gt;="&amp;$D$52,TablaEgreso[Fecha],"&lt;="&amp;$D$53)</f>
        <v>1000000</v>
      </c>
      <c r="E71" s="65">
        <f>SUMIFS(TablaEgreso[Egreso Total],TablaEgreso[Categoría],B71,TablaEgreso[Fecha],"&gt;="&amp;$E$52,TablaEgreso[Fecha],"&lt;="&amp;$E$53)</f>
        <v>0</v>
      </c>
      <c r="F71" s="65">
        <f>SUMIFS(TablaEgreso[Egreso Total],TablaEgreso[Categoría],B71,TablaEgreso[Fecha],"&gt;="&amp;$F$52,TablaEgreso[Fecha],"&lt;="&amp;$F$53)</f>
        <v>0</v>
      </c>
      <c r="G71" s="65">
        <f>SUMIFS(TablaEgreso[Egreso Total],TablaEgreso[Categoría],B71,TablaEgreso[Fecha],"&gt;="&amp;$G$52,TablaEgreso[Fecha],"&lt;="&amp;$G$53)</f>
        <v>0</v>
      </c>
      <c r="H71" s="65">
        <f>SUMIFS(TablaEgreso[Egreso Total],TablaEgreso[Categoría],B71,TablaEgreso[Fecha],"&gt;="&amp;$H$52,TablaEgreso[Fecha],"&lt;="&amp;$H$53)</f>
        <v>0</v>
      </c>
      <c r="I71" s="65">
        <f>SUMIFS(TablaEgreso[Egreso Total],TablaEgreso[Categoría],B71,TablaEgreso[Fecha],"&gt;="&amp;$I$52,TablaEgreso[Fecha],"&lt;="&amp;$I$53)</f>
        <v>0</v>
      </c>
      <c r="J71" s="65">
        <f>SUMIFS(TablaEgreso[Egreso Total],TablaEgreso[Categoría],B71,TablaEgreso[Fecha],"&gt;="&amp;$J$52,TablaEgreso[Fecha],"&lt;="&amp;$J$53)</f>
        <v>0</v>
      </c>
      <c r="K71" s="65">
        <f>SUMIFS(TablaEgreso[Egreso Total],TablaEgreso[Categoría],B71,TablaEgreso[Fecha],"&gt;="&amp;$K$52,TablaEgreso[Fecha],"&lt;="&amp;$K$53)</f>
        <v>0</v>
      </c>
      <c r="L71" s="65">
        <f>SUMIFS(TablaEgreso[Egreso Total],TablaEgreso[Categoría],B71,TablaEgreso[Fecha],"&gt;="&amp;$L$52,TablaEgreso[Fecha],"&lt;="&amp;$L$53)</f>
        <v>0</v>
      </c>
      <c r="M71" s="65">
        <f>SUMIFS(TablaEgreso[Egreso Total],TablaEgreso[Categoría],B71,TablaEgreso[Fecha],"&gt;="&amp;$M$52,TablaEgreso[Fecha],"&lt;="&amp;$M$53)</f>
        <v>0</v>
      </c>
      <c r="N71" s="65">
        <f>SUMIFS(TablaEgreso[Egreso Total],TablaEgreso[Categoría],B71,TablaEgreso[Fecha],"&gt;="&amp;$N$52,TablaEgreso[Fecha],"&lt;="&amp;$N$53)</f>
        <v>0</v>
      </c>
    </row>
    <row r="72" spans="2:14" ht="19.5" customHeight="1" x14ac:dyDescent="0.25">
      <c r="B72" s="41" t="str">
        <v>Librería</v>
      </c>
      <c r="C72" s="65">
        <f>SUMIFS(TablaEgreso[Egreso Total],TablaEgreso[Categoría],B72,TablaEgreso[Fecha],"&gt;="&amp;$C$52,TablaEgreso[Fecha],"&lt;="&amp;$C$53)</f>
        <v>0</v>
      </c>
      <c r="D72" s="65">
        <f>SUMIFS(TablaEgreso[Egreso Total],TablaEgreso[Categoría],B72,TablaEgreso[Fecha],"&gt;="&amp;$D$52,TablaEgreso[Fecha],"&lt;="&amp;$D$53)</f>
        <v>331485.65999999997</v>
      </c>
      <c r="E72" s="65">
        <f>SUMIFS(TablaEgreso[Egreso Total],TablaEgreso[Categoría],B72,TablaEgreso[Fecha],"&gt;="&amp;$E$52,TablaEgreso[Fecha],"&lt;="&amp;$E$53)</f>
        <v>0</v>
      </c>
      <c r="F72" s="65">
        <f>SUMIFS(TablaEgreso[Egreso Total],TablaEgreso[Categoría],B72,TablaEgreso[Fecha],"&gt;="&amp;$F$52,TablaEgreso[Fecha],"&lt;="&amp;$F$53)</f>
        <v>0</v>
      </c>
      <c r="G72" s="65">
        <f>SUMIFS(TablaEgreso[Egreso Total],TablaEgreso[Categoría],B72,TablaEgreso[Fecha],"&gt;="&amp;$G$52,TablaEgreso[Fecha],"&lt;="&amp;$G$53)</f>
        <v>0</v>
      </c>
      <c r="H72" s="65">
        <f>SUMIFS(TablaEgreso[Egreso Total],TablaEgreso[Categoría],B72,TablaEgreso[Fecha],"&gt;="&amp;$H$52,TablaEgreso[Fecha],"&lt;="&amp;$H$53)</f>
        <v>0</v>
      </c>
      <c r="I72" s="65">
        <f>SUMIFS(TablaEgreso[Egreso Total],TablaEgreso[Categoría],B72,TablaEgreso[Fecha],"&gt;="&amp;$I$52,TablaEgreso[Fecha],"&lt;="&amp;$I$53)</f>
        <v>0</v>
      </c>
      <c r="J72" s="65">
        <f>SUMIFS(TablaEgreso[Egreso Total],TablaEgreso[Categoría],B72,TablaEgreso[Fecha],"&gt;="&amp;$J$52,TablaEgreso[Fecha],"&lt;="&amp;$J$53)</f>
        <v>0</v>
      </c>
      <c r="K72" s="65">
        <f>SUMIFS(TablaEgreso[Egreso Total],TablaEgreso[Categoría],B72,TablaEgreso[Fecha],"&gt;="&amp;$K$52,TablaEgreso[Fecha],"&lt;="&amp;$K$53)</f>
        <v>0</v>
      </c>
      <c r="L72" s="65">
        <f>SUMIFS(TablaEgreso[Egreso Total],TablaEgreso[Categoría],B72,TablaEgreso[Fecha],"&gt;="&amp;$L$52,TablaEgreso[Fecha],"&lt;="&amp;$L$53)</f>
        <v>0</v>
      </c>
      <c r="M72" s="65">
        <f>SUMIFS(TablaEgreso[Egreso Total],TablaEgreso[Categoría],B72,TablaEgreso[Fecha],"&gt;="&amp;$M$52,TablaEgreso[Fecha],"&lt;="&amp;$M$53)</f>
        <v>0</v>
      </c>
      <c r="N72" s="65">
        <f>SUMIFS(TablaEgreso[Egreso Total],TablaEgreso[Categoría],B72,TablaEgreso[Fecha],"&gt;="&amp;$N$52,TablaEgreso[Fecha],"&lt;="&amp;$N$53)</f>
        <v>0</v>
      </c>
    </row>
    <row r="73" spans="2:14" ht="20.100000000000001" customHeight="1" x14ac:dyDescent="0.25">
      <c r="B73" s="41" t="str">
        <v>Limpieza</v>
      </c>
      <c r="C73" s="65">
        <f>SUMIFS(TablaEgreso[Egreso Total],TablaEgreso[Categoría],B73,TablaEgreso[Fecha],"&gt;="&amp;$C$52,TablaEgreso[Fecha],"&lt;="&amp;$C$53)</f>
        <v>0</v>
      </c>
      <c r="D73" s="65">
        <f>SUMIFS(TablaEgreso[Egreso Total],TablaEgreso[Categoría],B73,TablaEgreso[Fecha],"&gt;="&amp;$D$52,TablaEgreso[Fecha],"&lt;="&amp;$D$53)</f>
        <v>1733272.96</v>
      </c>
      <c r="E73" s="65">
        <f>SUMIFS(TablaEgreso[Egreso Total],TablaEgreso[Categoría],B73,TablaEgreso[Fecha],"&gt;="&amp;$E$52,TablaEgreso[Fecha],"&lt;="&amp;$E$53)</f>
        <v>0</v>
      </c>
      <c r="F73" s="65">
        <f>SUMIFS(TablaEgreso[Egreso Total],TablaEgreso[Categoría],B73,TablaEgreso[Fecha],"&gt;="&amp;$F$52,TablaEgreso[Fecha],"&lt;="&amp;$F$53)</f>
        <v>0</v>
      </c>
      <c r="G73" s="65">
        <f>SUMIFS(TablaEgreso[Egreso Total],TablaEgreso[Categoría],B73,TablaEgreso[Fecha],"&gt;="&amp;$G$52,TablaEgreso[Fecha],"&lt;="&amp;$G$53)</f>
        <v>0</v>
      </c>
      <c r="H73" s="65">
        <f>SUMIFS(TablaEgreso[Egreso Total],TablaEgreso[Categoría],B73,TablaEgreso[Fecha],"&gt;="&amp;$H$52,TablaEgreso[Fecha],"&lt;="&amp;$H$53)</f>
        <v>0</v>
      </c>
      <c r="I73" s="65">
        <f>SUMIFS(TablaEgreso[Egreso Total],TablaEgreso[Categoría],B73,TablaEgreso[Fecha],"&gt;="&amp;$I$52,TablaEgreso[Fecha],"&lt;="&amp;$I$53)</f>
        <v>0</v>
      </c>
      <c r="J73" s="65">
        <f>SUMIFS(TablaEgreso[Egreso Total],TablaEgreso[Categoría],B73,TablaEgreso[Fecha],"&gt;="&amp;$J$52,TablaEgreso[Fecha],"&lt;="&amp;$J$53)</f>
        <v>0</v>
      </c>
      <c r="K73" s="65">
        <f>SUMIFS(TablaEgreso[Egreso Total],TablaEgreso[Categoría],B73,TablaEgreso[Fecha],"&gt;="&amp;$K$52,TablaEgreso[Fecha],"&lt;="&amp;$K$53)</f>
        <v>0</v>
      </c>
      <c r="L73" s="65">
        <f>SUMIFS(TablaEgreso[Egreso Total],TablaEgreso[Categoría],B73,TablaEgreso[Fecha],"&gt;="&amp;$L$52,TablaEgreso[Fecha],"&lt;="&amp;$L$53)</f>
        <v>0</v>
      </c>
      <c r="M73" s="65">
        <f>SUMIFS(TablaEgreso[Egreso Total],TablaEgreso[Categoría],B73,TablaEgreso[Fecha],"&gt;="&amp;$M$52,TablaEgreso[Fecha],"&lt;="&amp;$M$53)</f>
        <v>0</v>
      </c>
      <c r="N73" s="65">
        <f>SUMIFS(TablaEgreso[Egreso Total],TablaEgreso[Categoría],B73,TablaEgreso[Fecha],"&gt;="&amp;$N$52,TablaEgreso[Fecha],"&lt;="&amp;$N$53)</f>
        <v>0</v>
      </c>
    </row>
    <row r="74" spans="2:14" ht="20.100000000000001" customHeight="1" x14ac:dyDescent="0.25">
      <c r="B74" s="41" t="str">
        <v>Mano de obra/Contratista</v>
      </c>
      <c r="C74" s="65">
        <f>SUMIFS(TablaEgreso[Egreso Total],TablaEgreso[Categoría],B74,TablaEgreso[Fecha],"&gt;="&amp;$C$52,TablaEgreso[Fecha],"&lt;="&amp;$C$53)</f>
        <v>0</v>
      </c>
      <c r="D74" s="65">
        <f>SUMIFS(TablaEgreso[Egreso Total],TablaEgreso[Categoría],B74,TablaEgreso[Fecha],"&gt;="&amp;$D$52,TablaEgreso[Fecha],"&lt;="&amp;$D$53)</f>
        <v>350000</v>
      </c>
      <c r="E74" s="65">
        <f>SUMIFS(TablaEgreso[Egreso Total],TablaEgreso[Categoría],B74,TablaEgreso[Fecha],"&gt;="&amp;$E$52,TablaEgreso[Fecha],"&lt;="&amp;$E$53)</f>
        <v>0</v>
      </c>
      <c r="F74" s="65">
        <f>SUMIFS(TablaEgreso[Egreso Total],TablaEgreso[Categoría],B74,TablaEgreso[Fecha],"&gt;="&amp;$F$52,TablaEgreso[Fecha],"&lt;="&amp;$F$53)</f>
        <v>0</v>
      </c>
      <c r="G74" s="65">
        <f>SUMIFS(TablaEgreso[Egreso Total],TablaEgreso[Categoría],B74,TablaEgreso[Fecha],"&gt;="&amp;$G$52,TablaEgreso[Fecha],"&lt;="&amp;$G$53)</f>
        <v>0</v>
      </c>
      <c r="H74" s="65">
        <f>SUMIFS(TablaEgreso[Egreso Total],TablaEgreso[Categoría],B74,TablaEgreso[Fecha],"&gt;="&amp;$H$52,TablaEgreso[Fecha],"&lt;="&amp;$H$53)</f>
        <v>0</v>
      </c>
      <c r="I74" s="65">
        <f>SUMIFS(TablaEgreso[Egreso Total],TablaEgreso[Categoría],B74,TablaEgreso[Fecha],"&gt;="&amp;$I$52,TablaEgreso[Fecha],"&lt;="&amp;$I$53)</f>
        <v>0</v>
      </c>
      <c r="J74" s="65">
        <f>SUMIFS(TablaEgreso[Egreso Total],TablaEgreso[Categoría],B74,TablaEgreso[Fecha],"&gt;="&amp;$J$52,TablaEgreso[Fecha],"&lt;="&amp;$J$53)</f>
        <v>0</v>
      </c>
      <c r="K74" s="65">
        <f>SUMIFS(TablaEgreso[Egreso Total],TablaEgreso[Categoría],B74,TablaEgreso[Fecha],"&gt;="&amp;$K$52,TablaEgreso[Fecha],"&lt;="&amp;$K$53)</f>
        <v>0</v>
      </c>
      <c r="L74" s="65">
        <f>SUMIFS(TablaEgreso[Egreso Total],TablaEgreso[Categoría],B74,TablaEgreso[Fecha],"&gt;="&amp;$L$52,TablaEgreso[Fecha],"&lt;="&amp;$L$53)</f>
        <v>0</v>
      </c>
      <c r="M74" s="65">
        <f>SUMIFS(TablaEgreso[Egreso Total],TablaEgreso[Categoría],B74,TablaEgreso[Fecha],"&gt;="&amp;$M$52,TablaEgreso[Fecha],"&lt;="&amp;$M$53)</f>
        <v>0</v>
      </c>
      <c r="N74" s="65">
        <f>SUMIFS(TablaEgreso[Egreso Total],TablaEgreso[Categoría],B74,TablaEgreso[Fecha],"&gt;="&amp;$N$52,TablaEgreso[Fecha],"&lt;="&amp;$N$53)</f>
        <v>0</v>
      </c>
    </row>
    <row r="75" spans="2:14" ht="20.100000000000001" customHeight="1" x14ac:dyDescent="0.25">
      <c r="B75" s="41" t="str">
        <v>Mantenimiento vehículos</v>
      </c>
      <c r="C75" s="65">
        <f>SUMIFS(TablaEgreso[Egreso Total],TablaEgreso[Categoría],B75,TablaEgreso[Fecha],"&gt;="&amp;$C$52,TablaEgreso[Fecha],"&lt;="&amp;$C$53)</f>
        <v>0</v>
      </c>
      <c r="D75" s="65">
        <f>SUMIFS(TablaEgreso[Egreso Total],TablaEgreso[Categoría],B75,TablaEgreso[Fecha],"&gt;="&amp;$D$52,TablaEgreso[Fecha],"&lt;="&amp;$D$53)</f>
        <v>151999.99</v>
      </c>
      <c r="E75" s="65">
        <f>SUMIFS(TablaEgreso[Egreso Total],TablaEgreso[Categoría],B75,TablaEgreso[Fecha],"&gt;="&amp;$E$52,TablaEgreso[Fecha],"&lt;="&amp;$E$53)</f>
        <v>0</v>
      </c>
      <c r="F75" s="65">
        <f>SUMIFS(TablaEgreso[Egreso Total],TablaEgreso[Categoría],B75,TablaEgreso[Fecha],"&gt;="&amp;$F$52,TablaEgreso[Fecha],"&lt;="&amp;$F$53)</f>
        <v>0</v>
      </c>
      <c r="G75" s="65">
        <f>SUMIFS(TablaEgreso[Egreso Total],TablaEgreso[Categoría],B75,TablaEgreso[Fecha],"&gt;="&amp;$G$52,TablaEgreso[Fecha],"&lt;="&amp;$G$53)</f>
        <v>0</v>
      </c>
      <c r="H75" s="65">
        <f>SUMIFS(TablaEgreso[Egreso Total],TablaEgreso[Categoría],B75,TablaEgreso[Fecha],"&gt;="&amp;$H$52,TablaEgreso[Fecha],"&lt;="&amp;$H$53)</f>
        <v>0</v>
      </c>
      <c r="I75" s="65">
        <f>SUMIFS(TablaEgreso[Egreso Total],TablaEgreso[Categoría],B75,TablaEgreso[Fecha],"&gt;="&amp;$I$52,TablaEgreso[Fecha],"&lt;="&amp;$I$53)</f>
        <v>0</v>
      </c>
      <c r="J75" s="65">
        <f>SUMIFS(TablaEgreso[Egreso Total],TablaEgreso[Categoría],B75,TablaEgreso[Fecha],"&gt;="&amp;$J$52,TablaEgreso[Fecha],"&lt;="&amp;$J$53)</f>
        <v>0</v>
      </c>
      <c r="K75" s="65">
        <f>SUMIFS(TablaEgreso[Egreso Total],TablaEgreso[Categoría],B75,TablaEgreso[Fecha],"&gt;="&amp;$K$52,TablaEgreso[Fecha],"&lt;="&amp;$K$53)</f>
        <v>0</v>
      </c>
      <c r="L75" s="65">
        <f>SUMIFS(TablaEgreso[Egreso Total],TablaEgreso[Categoría],B75,TablaEgreso[Fecha],"&gt;="&amp;$L$52,TablaEgreso[Fecha],"&lt;="&amp;$L$53)</f>
        <v>0</v>
      </c>
      <c r="M75" s="65">
        <f>SUMIFS(TablaEgreso[Egreso Total],TablaEgreso[Categoría],B75,TablaEgreso[Fecha],"&gt;="&amp;$M$52,TablaEgreso[Fecha],"&lt;="&amp;$M$53)</f>
        <v>0</v>
      </c>
      <c r="N75" s="65">
        <f>SUMIFS(TablaEgreso[Egreso Total],TablaEgreso[Categoría],B75,TablaEgreso[Fecha],"&gt;="&amp;$N$52,TablaEgreso[Fecha],"&lt;="&amp;$N$53)</f>
        <v>0</v>
      </c>
    </row>
    <row r="76" spans="2:14" ht="20.100000000000001" customHeight="1" x14ac:dyDescent="0.25">
      <c r="B76" s="41" t="str">
        <v>Maquinas/Herramientas</v>
      </c>
      <c r="C76" s="65">
        <f>SUMIFS(TablaEgreso[Egreso Total],TablaEgreso[Categoría],B76,TablaEgreso[Fecha],"&gt;="&amp;$C$52,TablaEgreso[Fecha],"&lt;="&amp;$C$53)</f>
        <v>0</v>
      </c>
      <c r="D76" s="65">
        <f>SUMIFS(TablaEgreso[Egreso Total],TablaEgreso[Categoría],B76,TablaEgreso[Fecha],"&gt;="&amp;$D$52,TablaEgreso[Fecha],"&lt;="&amp;$D$53)</f>
        <v>79000</v>
      </c>
      <c r="E76" s="65">
        <f>SUMIFS(TablaEgreso[Egreso Total],TablaEgreso[Categoría],B76,TablaEgreso[Fecha],"&gt;="&amp;$E$52,TablaEgreso[Fecha],"&lt;="&amp;$E$53)</f>
        <v>0</v>
      </c>
      <c r="F76" s="65">
        <f>SUMIFS(TablaEgreso[Egreso Total],TablaEgreso[Categoría],B76,TablaEgreso[Fecha],"&gt;="&amp;$F$52,TablaEgreso[Fecha],"&lt;="&amp;$F$53)</f>
        <v>0</v>
      </c>
      <c r="G76" s="65">
        <f>SUMIFS(TablaEgreso[Egreso Total],TablaEgreso[Categoría],B76,TablaEgreso[Fecha],"&gt;="&amp;$G$52,TablaEgreso[Fecha],"&lt;="&amp;$G$53)</f>
        <v>0</v>
      </c>
      <c r="H76" s="65">
        <f>SUMIFS(TablaEgreso[Egreso Total],TablaEgreso[Categoría],B76,TablaEgreso[Fecha],"&gt;="&amp;$H$52,TablaEgreso[Fecha],"&lt;="&amp;$H$53)</f>
        <v>0</v>
      </c>
      <c r="I76" s="65">
        <f>SUMIFS(TablaEgreso[Egreso Total],TablaEgreso[Categoría],B76,TablaEgreso[Fecha],"&gt;="&amp;$I$52,TablaEgreso[Fecha],"&lt;="&amp;$I$53)</f>
        <v>0</v>
      </c>
      <c r="J76" s="65">
        <f>SUMIFS(TablaEgreso[Egreso Total],TablaEgreso[Categoría],B76,TablaEgreso[Fecha],"&gt;="&amp;$J$52,TablaEgreso[Fecha],"&lt;="&amp;$J$53)</f>
        <v>0</v>
      </c>
      <c r="K76" s="65">
        <f>SUMIFS(TablaEgreso[Egreso Total],TablaEgreso[Categoría],B76,TablaEgreso[Fecha],"&gt;="&amp;$K$52,TablaEgreso[Fecha],"&lt;="&amp;$K$53)</f>
        <v>0</v>
      </c>
      <c r="L76" s="65">
        <f>SUMIFS(TablaEgreso[Egreso Total],TablaEgreso[Categoría],B76,TablaEgreso[Fecha],"&gt;="&amp;$L$52,TablaEgreso[Fecha],"&lt;="&amp;$L$53)</f>
        <v>0</v>
      </c>
      <c r="M76" s="65">
        <f>SUMIFS(TablaEgreso[Egreso Total],TablaEgreso[Categoría],B76,TablaEgreso[Fecha],"&gt;="&amp;$M$52,TablaEgreso[Fecha],"&lt;="&amp;$M$53)</f>
        <v>0</v>
      </c>
      <c r="N76" s="65">
        <f>SUMIFS(TablaEgreso[Egreso Total],TablaEgreso[Categoría],B76,TablaEgreso[Fecha],"&gt;="&amp;$N$52,TablaEgreso[Fecha],"&lt;="&amp;$N$53)</f>
        <v>0</v>
      </c>
    </row>
    <row r="77" spans="2:14" ht="20.100000000000001" customHeight="1" x14ac:dyDescent="0.25">
      <c r="B77" s="41" t="str">
        <v>Matadero</v>
      </c>
      <c r="C77" s="65">
        <f>SUMIFS(TablaEgreso[Egreso Total],TablaEgreso[Categoría],B77,TablaEgreso[Fecha],"&gt;="&amp;$C$52,TablaEgreso[Fecha],"&lt;="&amp;$C$53)</f>
        <v>0</v>
      </c>
      <c r="D77" s="65">
        <f>SUMIFS(TablaEgreso[Egreso Total],TablaEgreso[Categoría],B77,TablaEgreso[Fecha],"&gt;="&amp;$D$52,TablaEgreso[Fecha],"&lt;="&amp;$D$53)</f>
        <v>3764271</v>
      </c>
      <c r="E77" s="65">
        <f>SUMIFS(TablaEgreso[Egreso Total],TablaEgreso[Categoría],B77,TablaEgreso[Fecha],"&gt;="&amp;$E$52,TablaEgreso[Fecha],"&lt;="&amp;$E$53)</f>
        <v>0</v>
      </c>
      <c r="F77" s="65">
        <f>SUMIFS(TablaEgreso[Egreso Total],TablaEgreso[Categoría],B77,TablaEgreso[Fecha],"&gt;="&amp;$F$52,TablaEgreso[Fecha],"&lt;="&amp;$F$53)</f>
        <v>0</v>
      </c>
      <c r="G77" s="65">
        <f>SUMIFS(TablaEgreso[Egreso Total],TablaEgreso[Categoría],B77,TablaEgreso[Fecha],"&gt;="&amp;$G$52,TablaEgreso[Fecha],"&lt;="&amp;$G$53)</f>
        <v>0</v>
      </c>
      <c r="H77" s="65">
        <f>SUMIFS(TablaEgreso[Egreso Total],TablaEgreso[Categoría],B77,TablaEgreso[Fecha],"&gt;="&amp;$H$52,TablaEgreso[Fecha],"&lt;="&amp;$H$53)</f>
        <v>0</v>
      </c>
      <c r="I77" s="65">
        <f>SUMIFS(TablaEgreso[Egreso Total],TablaEgreso[Categoría],B77,TablaEgreso[Fecha],"&gt;="&amp;$I$52,TablaEgreso[Fecha],"&lt;="&amp;$I$53)</f>
        <v>0</v>
      </c>
      <c r="J77" s="65">
        <f>SUMIFS(TablaEgreso[Egreso Total],TablaEgreso[Categoría],B77,TablaEgreso[Fecha],"&gt;="&amp;$J$52,TablaEgreso[Fecha],"&lt;="&amp;$J$53)</f>
        <v>0</v>
      </c>
      <c r="K77" s="65">
        <f>SUMIFS(TablaEgreso[Egreso Total],TablaEgreso[Categoría],B77,TablaEgreso[Fecha],"&gt;="&amp;$K$52,TablaEgreso[Fecha],"&lt;="&amp;$K$53)</f>
        <v>0</v>
      </c>
      <c r="L77" s="65">
        <f>SUMIFS(TablaEgreso[Egreso Total],TablaEgreso[Categoría],B77,TablaEgreso[Fecha],"&gt;="&amp;$L$52,TablaEgreso[Fecha],"&lt;="&amp;$L$53)</f>
        <v>0</v>
      </c>
      <c r="M77" s="65">
        <f>SUMIFS(TablaEgreso[Egreso Total],TablaEgreso[Categoría],B77,TablaEgreso[Fecha],"&gt;="&amp;$M$52,TablaEgreso[Fecha],"&lt;="&amp;$M$53)</f>
        <v>0</v>
      </c>
      <c r="N77" s="65">
        <f>SUMIFS(TablaEgreso[Egreso Total],TablaEgreso[Categoría],B77,TablaEgreso[Fecha],"&gt;="&amp;$N$52,TablaEgreso[Fecha],"&lt;="&amp;$N$53)</f>
        <v>0</v>
      </c>
    </row>
    <row r="78" spans="2:14" ht="20.100000000000001" customHeight="1" x14ac:dyDescent="0.25">
      <c r="B78" s="41" t="str">
        <v>Material de construcción</v>
      </c>
      <c r="C78" s="65">
        <f>SUMIFS(TablaEgreso[Egreso Total],TablaEgreso[Categoría],B78,TablaEgreso[Fecha],"&gt;="&amp;$C$52,TablaEgreso[Fecha],"&lt;="&amp;$C$53)</f>
        <v>0</v>
      </c>
      <c r="D78" s="65">
        <f>SUMIFS(TablaEgreso[Egreso Total],TablaEgreso[Categoría],B78,TablaEgreso[Fecha],"&gt;="&amp;$D$52,TablaEgreso[Fecha],"&lt;="&amp;$D$53)</f>
        <v>551338.93999999994</v>
      </c>
      <c r="E78" s="65">
        <f>SUMIFS(TablaEgreso[Egreso Total],TablaEgreso[Categoría],B78,TablaEgreso[Fecha],"&gt;="&amp;$E$52,TablaEgreso[Fecha],"&lt;="&amp;$E$53)</f>
        <v>0</v>
      </c>
      <c r="F78" s="65">
        <f>SUMIFS(TablaEgreso[Egreso Total],TablaEgreso[Categoría],B78,TablaEgreso[Fecha],"&gt;="&amp;$F$52,TablaEgreso[Fecha],"&lt;="&amp;$F$53)</f>
        <v>0</v>
      </c>
      <c r="G78" s="65">
        <f>SUMIFS(TablaEgreso[Egreso Total],TablaEgreso[Categoría],B78,TablaEgreso[Fecha],"&gt;="&amp;$G$52,TablaEgreso[Fecha],"&lt;="&amp;$G$53)</f>
        <v>0</v>
      </c>
      <c r="H78" s="65">
        <f>SUMIFS(TablaEgreso[Egreso Total],TablaEgreso[Categoría],B78,TablaEgreso[Fecha],"&gt;="&amp;$H$52,TablaEgreso[Fecha],"&lt;="&amp;$H$53)</f>
        <v>0</v>
      </c>
      <c r="I78" s="65">
        <f>SUMIFS(TablaEgreso[Egreso Total],TablaEgreso[Categoría],B78,TablaEgreso[Fecha],"&gt;="&amp;$I$52,TablaEgreso[Fecha],"&lt;="&amp;$I$53)</f>
        <v>0</v>
      </c>
      <c r="J78" s="65">
        <f>SUMIFS(TablaEgreso[Egreso Total],TablaEgreso[Categoría],B78,TablaEgreso[Fecha],"&gt;="&amp;$J$52,TablaEgreso[Fecha],"&lt;="&amp;$J$53)</f>
        <v>0</v>
      </c>
      <c r="K78" s="65">
        <f>SUMIFS(TablaEgreso[Egreso Total],TablaEgreso[Categoría],B78,TablaEgreso[Fecha],"&gt;="&amp;$K$52,TablaEgreso[Fecha],"&lt;="&amp;$K$53)</f>
        <v>0</v>
      </c>
      <c r="L78" s="65">
        <f>SUMIFS(TablaEgreso[Egreso Total],TablaEgreso[Categoría],B78,TablaEgreso[Fecha],"&gt;="&amp;$L$52,TablaEgreso[Fecha],"&lt;="&amp;$L$53)</f>
        <v>0</v>
      </c>
      <c r="M78" s="65">
        <f>SUMIFS(TablaEgreso[Egreso Total],TablaEgreso[Categoría],B78,TablaEgreso[Fecha],"&gt;="&amp;$M$52,TablaEgreso[Fecha],"&lt;="&amp;$M$53)</f>
        <v>0</v>
      </c>
      <c r="N78" s="65">
        <f>SUMIFS(TablaEgreso[Egreso Total],TablaEgreso[Categoría],B78,TablaEgreso[Fecha],"&gt;="&amp;$N$52,TablaEgreso[Fecha],"&lt;="&amp;$N$53)</f>
        <v>0</v>
      </c>
    </row>
    <row r="79" spans="2:14" ht="20.100000000000001" customHeight="1" x14ac:dyDescent="0.25">
      <c r="B79" s="41" t="str">
        <f t="array" ref="B79">Configuración!E35:E69</f>
        <v>Mercadería para la venta</v>
      </c>
      <c r="C79" s="65">
        <f>SUMIFS(TablaEgreso[Egreso Total],TablaEgreso[Categoría],B79,TablaEgreso[Fecha],"&gt;="&amp;$C$52,TablaEgreso[Fecha],"&lt;="&amp;$C$53)</f>
        <v>0</v>
      </c>
      <c r="D79" s="65">
        <f>SUMIFS(TablaEgreso[Egreso Total],TablaEgreso[Categoría],B79,TablaEgreso[Fecha],"&gt;="&amp;$D$52,TablaEgreso[Fecha],"&lt;="&amp;$D$53)</f>
        <v>22253626.02999999</v>
      </c>
      <c r="E79" s="65">
        <f>SUMIFS(TablaEgreso[Egreso Total],TablaEgreso[Categoría],B79,TablaEgreso[Fecha],"&gt;="&amp;$E$52,TablaEgreso[Fecha],"&lt;="&amp;$E$53)</f>
        <v>0</v>
      </c>
      <c r="F79" s="65">
        <f>SUMIFS(TablaEgreso[Egreso Total],TablaEgreso[Categoría],B79,TablaEgreso[Fecha],"&gt;="&amp;$F$52,TablaEgreso[Fecha],"&lt;="&amp;$F$53)</f>
        <v>0</v>
      </c>
      <c r="G79" s="65">
        <f>SUMIFS(TablaEgreso[Egreso Total],TablaEgreso[Categoría],B79,TablaEgreso[Fecha],"&gt;="&amp;$G$52,TablaEgreso[Fecha],"&lt;="&amp;$G$53)</f>
        <v>0</v>
      </c>
      <c r="H79" s="65">
        <f>SUMIFS(TablaEgreso[Egreso Total],TablaEgreso[Categoría],B79,TablaEgreso[Fecha],"&gt;="&amp;$H$52,TablaEgreso[Fecha],"&lt;="&amp;$H$53)</f>
        <v>0</v>
      </c>
      <c r="I79" s="65">
        <f>SUMIFS(TablaEgreso[Egreso Total],TablaEgreso[Categoría],B79,TablaEgreso[Fecha],"&gt;="&amp;$I$52,TablaEgreso[Fecha],"&lt;="&amp;$I$53)</f>
        <v>0</v>
      </c>
      <c r="J79" s="65">
        <f>SUMIFS(TablaEgreso[Egreso Total],TablaEgreso[Categoría],B79,TablaEgreso[Fecha],"&gt;="&amp;$J$52,TablaEgreso[Fecha],"&lt;="&amp;$J$53)</f>
        <v>0</v>
      </c>
      <c r="K79" s="65">
        <f>SUMIFS(TablaEgreso[Egreso Total],TablaEgreso[Categoría],B79,TablaEgreso[Fecha],"&gt;="&amp;$K$52,TablaEgreso[Fecha],"&lt;="&amp;$K$53)</f>
        <v>0</v>
      </c>
      <c r="L79" s="65">
        <f>SUMIFS(TablaEgreso[Egreso Total],TablaEgreso[Categoría],B79,TablaEgreso[Fecha],"&gt;="&amp;$L$52,TablaEgreso[Fecha],"&lt;="&amp;$L$53)</f>
        <v>0</v>
      </c>
      <c r="M79" s="65">
        <f>SUMIFS(TablaEgreso[Egreso Total],TablaEgreso[Categoría],B79,TablaEgreso[Fecha],"&gt;="&amp;$M$52,TablaEgreso[Fecha],"&lt;="&amp;$M$53)</f>
        <v>0</v>
      </c>
      <c r="N79" s="65">
        <f>SUMIFS(TablaEgreso[Egreso Total],TablaEgreso[Categoría],B79,TablaEgreso[Fecha],"&gt;="&amp;$N$52,TablaEgreso[Fecha],"&lt;="&amp;$N$53)</f>
        <v>0</v>
      </c>
    </row>
    <row r="80" spans="2:14" ht="20.100000000000001" customHeight="1" x14ac:dyDescent="0.25">
      <c r="B80" s="41" t="str">
        <f t="array" ref="B80">Configuración!E36:E70</f>
        <v>Publicidad</v>
      </c>
      <c r="C80" s="65">
        <f>SUMIFS(TablaEgreso[Egreso Total],TablaEgreso[Categoría],B80,TablaEgreso[Fecha],"&gt;="&amp;$C$52,TablaEgreso[Fecha],"&lt;="&amp;$C$53)</f>
        <v>0</v>
      </c>
      <c r="D80" s="65">
        <f>SUMIFS(TablaEgreso[Egreso Total],TablaEgreso[Categoría],B80,TablaEgreso[Fecha],"&gt;="&amp;$D$52,TablaEgreso[Fecha],"&lt;="&amp;$D$53)</f>
        <v>344000</v>
      </c>
      <c r="E80" s="65">
        <f>SUMIFS(TablaEgreso[Egreso Total],TablaEgreso[Categoría],B80,TablaEgreso[Fecha],"&gt;="&amp;$E$52,TablaEgreso[Fecha],"&lt;="&amp;$E$53)</f>
        <v>0</v>
      </c>
      <c r="F80" s="65">
        <f>SUMIFS(TablaEgreso[Egreso Total],TablaEgreso[Categoría],B80,TablaEgreso[Fecha],"&gt;="&amp;$F$52,TablaEgreso[Fecha],"&lt;="&amp;$F$53)</f>
        <v>0</v>
      </c>
      <c r="G80" s="65">
        <f>SUMIFS(TablaEgreso[Egreso Total],TablaEgreso[Categoría],B80,TablaEgreso[Fecha],"&gt;="&amp;$G$52,TablaEgreso[Fecha],"&lt;="&amp;$G$53)</f>
        <v>0</v>
      </c>
      <c r="H80" s="65">
        <f>SUMIFS(TablaEgreso[Egreso Total],TablaEgreso[Categoría],B80,TablaEgreso[Fecha],"&gt;="&amp;$H$52,TablaEgreso[Fecha],"&lt;="&amp;$H$53)</f>
        <v>0</v>
      </c>
      <c r="I80" s="65">
        <f>SUMIFS(TablaEgreso[Egreso Total],TablaEgreso[Categoría],B80,TablaEgreso[Fecha],"&gt;="&amp;$I$52,TablaEgreso[Fecha],"&lt;="&amp;$I$53)</f>
        <v>0</v>
      </c>
      <c r="J80" s="65">
        <f>SUMIFS(TablaEgreso[Egreso Total],TablaEgreso[Categoría],B80,TablaEgreso[Fecha],"&gt;="&amp;$J$52,TablaEgreso[Fecha],"&lt;="&amp;$J$53)</f>
        <v>0</v>
      </c>
      <c r="K80" s="65">
        <f>SUMIFS(TablaEgreso[Egreso Total],TablaEgreso[Categoría],B80,TablaEgreso[Fecha],"&gt;="&amp;$K$52,TablaEgreso[Fecha],"&lt;="&amp;$K$53)</f>
        <v>0</v>
      </c>
      <c r="L80" s="65">
        <f>SUMIFS(TablaEgreso[Egreso Total],TablaEgreso[Categoría],B80,TablaEgreso[Fecha],"&gt;="&amp;$L$52,TablaEgreso[Fecha],"&lt;="&amp;$L$53)</f>
        <v>0</v>
      </c>
      <c r="M80" s="65">
        <f>SUMIFS(TablaEgreso[Egreso Total],TablaEgreso[Categoría],B80,TablaEgreso[Fecha],"&gt;="&amp;$M$52,TablaEgreso[Fecha],"&lt;="&amp;$M$53)</f>
        <v>0</v>
      </c>
      <c r="N80" s="65">
        <f>SUMIFS(TablaEgreso[Egreso Total],TablaEgreso[Categoría],B80,TablaEgreso[Fecha],"&gt;="&amp;$N$52,TablaEgreso[Fecha],"&lt;="&amp;$N$53)</f>
        <v>0</v>
      </c>
    </row>
    <row r="81" spans="2:14" ht="20.100000000000001" customHeight="1" x14ac:dyDescent="0.25">
      <c r="B81" s="41" t="str">
        <f t="array" ref="B81">Configuración!E37:E71</f>
        <v>Retiro</v>
      </c>
      <c r="C81" s="65">
        <f>SUMIFS(TablaEgreso[Egreso Total],TablaEgreso[Categoría],B81,TablaEgreso[Fecha],"&gt;="&amp;$C$52,TablaEgreso[Fecha],"&lt;="&amp;$C$53)</f>
        <v>0</v>
      </c>
      <c r="D81" s="65">
        <f>SUMIFS(TablaEgreso[Egreso Total],TablaEgreso[Categoría],B81,TablaEgreso[Fecha],"&gt;="&amp;$D$52,TablaEgreso[Fecha],"&lt;="&amp;$D$53)</f>
        <v>0</v>
      </c>
      <c r="E81" s="65">
        <f>SUMIFS(TablaEgreso[Egreso Total],TablaEgreso[Categoría],B81,TablaEgreso[Fecha],"&gt;="&amp;$E$52,TablaEgreso[Fecha],"&lt;="&amp;$E$53)</f>
        <v>0</v>
      </c>
      <c r="F81" s="65">
        <f>SUMIFS(TablaEgreso[Egreso Total],TablaEgreso[Categoría],B81,TablaEgreso[Fecha],"&gt;="&amp;$F$52,TablaEgreso[Fecha],"&lt;="&amp;$F$53)</f>
        <v>0</v>
      </c>
      <c r="G81" s="65">
        <f>SUMIFS(TablaEgreso[Egreso Total],TablaEgreso[Categoría],B81,TablaEgreso[Fecha],"&gt;="&amp;$G$52,TablaEgreso[Fecha],"&lt;="&amp;$G$53)</f>
        <v>0</v>
      </c>
      <c r="H81" s="65">
        <f>SUMIFS(TablaEgreso[Egreso Total],TablaEgreso[Categoría],B81,TablaEgreso[Fecha],"&gt;="&amp;$H$52,TablaEgreso[Fecha],"&lt;="&amp;$H$53)</f>
        <v>0</v>
      </c>
      <c r="I81" s="65">
        <f>SUMIFS(TablaEgreso[Egreso Total],TablaEgreso[Categoría],B81,TablaEgreso[Fecha],"&gt;="&amp;$I$52,TablaEgreso[Fecha],"&lt;="&amp;$I$53)</f>
        <v>0</v>
      </c>
      <c r="J81" s="65">
        <f>SUMIFS(TablaEgreso[Egreso Total],TablaEgreso[Categoría],B81,TablaEgreso[Fecha],"&gt;="&amp;$J$52,TablaEgreso[Fecha],"&lt;="&amp;$J$53)</f>
        <v>0</v>
      </c>
      <c r="K81" s="65">
        <f>SUMIFS(TablaEgreso[Egreso Total],TablaEgreso[Categoría],B81,TablaEgreso[Fecha],"&gt;="&amp;$K$52,TablaEgreso[Fecha],"&lt;="&amp;$K$53)</f>
        <v>0</v>
      </c>
      <c r="L81" s="65">
        <f>SUMIFS(TablaEgreso[Egreso Total],TablaEgreso[Categoría],B81,TablaEgreso[Fecha],"&gt;="&amp;$L$52,TablaEgreso[Fecha],"&lt;="&amp;$L$53)</f>
        <v>0</v>
      </c>
      <c r="M81" s="65">
        <f>SUMIFS(TablaEgreso[Egreso Total],TablaEgreso[Categoría],B81,TablaEgreso[Fecha],"&gt;="&amp;$M$52,TablaEgreso[Fecha],"&lt;="&amp;$M$53)</f>
        <v>0</v>
      </c>
      <c r="N81" s="65">
        <f>SUMIFS(TablaEgreso[Egreso Total],TablaEgreso[Categoría],B81,TablaEgreso[Fecha],"&gt;="&amp;$N$52,TablaEgreso[Fecha],"&lt;="&amp;$N$53)</f>
        <v>0</v>
      </c>
    </row>
    <row r="82" spans="2:14" ht="20.100000000000001" customHeight="1" x14ac:dyDescent="0.25">
      <c r="B82" s="41" t="str">
        <f t="array" ref="B82">Configuración!E38:E72</f>
        <v>Seguros</v>
      </c>
      <c r="C82" s="65">
        <f>SUMIFS(TablaEgreso[Egreso Total],TablaEgreso[Categoría],B82,TablaEgreso[Fecha],"&gt;="&amp;$C$52,TablaEgreso[Fecha],"&lt;="&amp;$C$53)</f>
        <v>0</v>
      </c>
      <c r="D82" s="65">
        <f>SUMIFS(TablaEgreso[Egreso Total],TablaEgreso[Categoría],B82,TablaEgreso[Fecha],"&gt;="&amp;$D$52,TablaEgreso[Fecha],"&lt;="&amp;$D$53)</f>
        <v>69517</v>
      </c>
      <c r="E82" s="65">
        <f>SUMIFS(TablaEgreso[Egreso Total],TablaEgreso[Categoría],B82,TablaEgreso[Fecha],"&gt;="&amp;$E$52,TablaEgreso[Fecha],"&lt;="&amp;$E$53)</f>
        <v>0</v>
      </c>
      <c r="F82" s="65">
        <f>SUMIFS(TablaEgreso[Egreso Total],TablaEgreso[Categoría],B82,TablaEgreso[Fecha],"&gt;="&amp;$F$52,TablaEgreso[Fecha],"&lt;="&amp;$F$53)</f>
        <v>0</v>
      </c>
      <c r="G82" s="65">
        <f>SUMIFS(TablaEgreso[Egreso Total],TablaEgreso[Categoría],B82,TablaEgreso[Fecha],"&gt;="&amp;$G$52,TablaEgreso[Fecha],"&lt;="&amp;$G$53)</f>
        <v>0</v>
      </c>
      <c r="H82" s="65">
        <f>SUMIFS(TablaEgreso[Egreso Total],TablaEgreso[Categoría],B82,TablaEgreso[Fecha],"&gt;="&amp;$H$52,TablaEgreso[Fecha],"&lt;="&amp;$H$53)</f>
        <v>0</v>
      </c>
      <c r="I82" s="65">
        <f>SUMIFS(TablaEgreso[Egreso Total],TablaEgreso[Categoría],B82,TablaEgreso[Fecha],"&gt;="&amp;$I$52,TablaEgreso[Fecha],"&lt;="&amp;$I$53)</f>
        <v>0</v>
      </c>
      <c r="J82" s="65">
        <f>SUMIFS(TablaEgreso[Egreso Total],TablaEgreso[Categoría],B82,TablaEgreso[Fecha],"&gt;="&amp;$J$52,TablaEgreso[Fecha],"&lt;="&amp;$J$53)</f>
        <v>0</v>
      </c>
      <c r="K82" s="65">
        <f>SUMIFS(TablaEgreso[Egreso Total],TablaEgreso[Categoría],B82,TablaEgreso[Fecha],"&gt;="&amp;$K$52,TablaEgreso[Fecha],"&lt;="&amp;$K$53)</f>
        <v>0</v>
      </c>
      <c r="L82" s="65">
        <f>SUMIFS(TablaEgreso[Egreso Total],TablaEgreso[Categoría],B82,TablaEgreso[Fecha],"&gt;="&amp;$L$52,TablaEgreso[Fecha],"&lt;="&amp;$L$53)</f>
        <v>0</v>
      </c>
      <c r="M82" s="65">
        <f>SUMIFS(TablaEgreso[Egreso Total],TablaEgreso[Categoría],B82,TablaEgreso[Fecha],"&gt;="&amp;$M$52,TablaEgreso[Fecha],"&lt;="&amp;$M$53)</f>
        <v>0</v>
      </c>
      <c r="N82" s="65">
        <f>SUMIFS(TablaEgreso[Egreso Total],TablaEgreso[Categoría],B82,TablaEgreso[Fecha],"&gt;="&amp;$N$52,TablaEgreso[Fecha],"&lt;="&amp;$N$53)</f>
        <v>0</v>
      </c>
    </row>
    <row r="83" spans="2:14" ht="20.100000000000001" customHeight="1" x14ac:dyDescent="0.25">
      <c r="B83" s="41" t="str">
        <f t="array" ref="B83">Configuración!E39:E73</f>
        <v>Servicio Técnico</v>
      </c>
      <c r="C83" s="65">
        <f>SUMIFS(TablaEgreso[Egreso Total],TablaEgreso[Categoría],B83,TablaEgreso[Fecha],"&gt;="&amp;$C$52,TablaEgreso[Fecha],"&lt;="&amp;$C$53)</f>
        <v>0</v>
      </c>
      <c r="D83" s="65">
        <f>SUMIFS(TablaEgreso[Egreso Total],TablaEgreso[Categoría],B83,TablaEgreso[Fecha],"&gt;="&amp;$D$52,TablaEgreso[Fecha],"&lt;="&amp;$D$53)</f>
        <v>273026.88</v>
      </c>
      <c r="E83" s="65">
        <f>SUMIFS(TablaEgreso[Egreso Total],TablaEgreso[Categoría],B83,TablaEgreso[Fecha],"&gt;="&amp;$E$52,TablaEgreso[Fecha],"&lt;="&amp;$E$53)</f>
        <v>0</v>
      </c>
      <c r="F83" s="65">
        <f>SUMIFS(TablaEgreso[Egreso Total],TablaEgreso[Categoría],B83,TablaEgreso[Fecha],"&gt;="&amp;$F$52,TablaEgreso[Fecha],"&lt;="&amp;$F$53)</f>
        <v>0</v>
      </c>
      <c r="G83" s="65">
        <f>SUMIFS(TablaEgreso[Egreso Total],TablaEgreso[Categoría],B83,TablaEgreso[Fecha],"&gt;="&amp;$G$52,TablaEgreso[Fecha],"&lt;="&amp;$G$53)</f>
        <v>0</v>
      </c>
      <c r="H83" s="65">
        <f>SUMIFS(TablaEgreso[Egreso Total],TablaEgreso[Categoría],B83,TablaEgreso[Fecha],"&gt;="&amp;$H$52,TablaEgreso[Fecha],"&lt;="&amp;$H$53)</f>
        <v>0</v>
      </c>
      <c r="I83" s="65">
        <f>SUMIFS(TablaEgreso[Egreso Total],TablaEgreso[Categoría],B83,TablaEgreso[Fecha],"&gt;="&amp;$I$52,TablaEgreso[Fecha],"&lt;="&amp;$I$53)</f>
        <v>0</v>
      </c>
      <c r="J83" s="65">
        <f>SUMIFS(TablaEgreso[Egreso Total],TablaEgreso[Categoría],B83,TablaEgreso[Fecha],"&gt;="&amp;$J$52,TablaEgreso[Fecha],"&lt;="&amp;$J$53)</f>
        <v>0</v>
      </c>
      <c r="K83" s="65">
        <f>SUMIFS(TablaEgreso[Egreso Total],TablaEgreso[Categoría],B83,TablaEgreso[Fecha],"&gt;="&amp;$K$52,TablaEgreso[Fecha],"&lt;="&amp;$K$53)</f>
        <v>0</v>
      </c>
      <c r="L83" s="65">
        <f>SUMIFS(TablaEgreso[Egreso Total],TablaEgreso[Categoría],B83,TablaEgreso[Fecha],"&gt;="&amp;$L$52,TablaEgreso[Fecha],"&lt;="&amp;$L$53)</f>
        <v>0</v>
      </c>
      <c r="M83" s="65">
        <f>SUMIFS(TablaEgreso[Egreso Total],TablaEgreso[Categoría],B83,TablaEgreso[Fecha],"&gt;="&amp;$M$52,TablaEgreso[Fecha],"&lt;="&amp;$M$53)</f>
        <v>0</v>
      </c>
      <c r="N83" s="65">
        <f>SUMIFS(TablaEgreso[Egreso Total],TablaEgreso[Categoría],B83,TablaEgreso[Fecha],"&gt;="&amp;$N$52,TablaEgreso[Fecha],"&lt;="&amp;$N$53)</f>
        <v>0</v>
      </c>
    </row>
    <row r="84" spans="2:14" ht="20.100000000000001" customHeight="1" x14ac:dyDescent="0.25">
      <c r="B84" s="41" t="str">
        <f t="array" ref="B84">Configuración!E40:E74</f>
        <v>Servicios e Impuestos</v>
      </c>
      <c r="C84" s="65">
        <f>SUMIFS(TablaEgreso[Egreso Total],TablaEgreso[Categoría],B84,TablaEgreso[Fecha],"&gt;="&amp;$C$52,TablaEgreso[Fecha],"&lt;="&amp;$C$53)</f>
        <v>0</v>
      </c>
      <c r="D84" s="65">
        <f>SUMIFS(TablaEgreso[Egreso Total],TablaEgreso[Categoría],B84,TablaEgreso[Fecha],"&gt;="&amp;$D$52,TablaEgreso[Fecha],"&lt;="&amp;$D$53)</f>
        <v>18132159.839999996</v>
      </c>
      <c r="E84" s="65">
        <f>SUMIFS(TablaEgreso[Egreso Total],TablaEgreso[Categoría],B84,TablaEgreso[Fecha],"&gt;="&amp;$E$52,TablaEgreso[Fecha],"&lt;="&amp;$E$53)</f>
        <v>0</v>
      </c>
      <c r="F84" s="65">
        <f>SUMIFS(TablaEgreso[Egreso Total],TablaEgreso[Categoría],B84,TablaEgreso[Fecha],"&gt;="&amp;$F$52,TablaEgreso[Fecha],"&lt;="&amp;$F$53)</f>
        <v>0</v>
      </c>
      <c r="G84" s="65">
        <f>SUMIFS(TablaEgreso[Egreso Total],TablaEgreso[Categoría],B84,TablaEgreso[Fecha],"&gt;="&amp;$G$52,TablaEgreso[Fecha],"&lt;="&amp;$G$53)</f>
        <v>0</v>
      </c>
      <c r="H84" s="65">
        <f>SUMIFS(TablaEgreso[Egreso Total],TablaEgreso[Categoría],B84,TablaEgreso[Fecha],"&gt;="&amp;$H$52,TablaEgreso[Fecha],"&lt;="&amp;$H$53)</f>
        <v>0</v>
      </c>
      <c r="I84" s="65">
        <f>SUMIFS(TablaEgreso[Egreso Total],TablaEgreso[Categoría],B84,TablaEgreso[Fecha],"&gt;="&amp;$I$52,TablaEgreso[Fecha],"&lt;="&amp;$I$53)</f>
        <v>0</v>
      </c>
      <c r="J84" s="65">
        <f>SUMIFS(TablaEgreso[Egreso Total],TablaEgreso[Categoría],B84,TablaEgreso[Fecha],"&gt;="&amp;$J$52,TablaEgreso[Fecha],"&lt;="&amp;$J$53)</f>
        <v>0</v>
      </c>
      <c r="K84" s="65">
        <f>SUMIFS(TablaEgreso[Egreso Total],TablaEgreso[Categoría],B84,TablaEgreso[Fecha],"&gt;="&amp;$K$52,TablaEgreso[Fecha],"&lt;="&amp;$K$53)</f>
        <v>0</v>
      </c>
      <c r="L84" s="65">
        <f>SUMIFS(TablaEgreso[Egreso Total],TablaEgreso[Categoría],B84,TablaEgreso[Fecha],"&gt;="&amp;$L$52,TablaEgreso[Fecha],"&lt;="&amp;$L$53)</f>
        <v>0</v>
      </c>
      <c r="M84" s="65">
        <f>SUMIFS(TablaEgreso[Egreso Total],TablaEgreso[Categoría],B84,TablaEgreso[Fecha],"&gt;="&amp;$M$52,TablaEgreso[Fecha],"&lt;="&amp;$M$53)</f>
        <v>0</v>
      </c>
      <c r="N84" s="65">
        <f>SUMIFS(TablaEgreso[Egreso Total],TablaEgreso[Categoría],B84,TablaEgreso[Fecha],"&gt;="&amp;$N$52,TablaEgreso[Fecha],"&lt;="&amp;$N$53)</f>
        <v>0</v>
      </c>
    </row>
    <row r="85" spans="2:14" ht="20.100000000000001" customHeight="1" x14ac:dyDescent="0.25">
      <c r="B85" s="41" t="str">
        <f t="array" ref="B85">Configuración!E41:E75</f>
        <v>Sindicatos</v>
      </c>
      <c r="C85" s="65">
        <f>SUMIFS(TablaEgreso[Egreso Total],TablaEgreso[Categoría],B85,TablaEgreso[Fecha],"&gt;="&amp;$C$52,TablaEgreso[Fecha],"&lt;="&amp;$C$53)</f>
        <v>0</v>
      </c>
      <c r="D85" s="65">
        <f>SUMIFS(TablaEgreso[Egreso Total],TablaEgreso[Categoría],B85,TablaEgreso[Fecha],"&gt;="&amp;$D$52,TablaEgreso[Fecha],"&lt;="&amp;$D$53)</f>
        <v>350934.02</v>
      </c>
      <c r="E85" s="65">
        <f>SUMIFS(TablaEgreso[Egreso Total],TablaEgreso[Categoría],B85,TablaEgreso[Fecha],"&gt;="&amp;$E$52,TablaEgreso[Fecha],"&lt;="&amp;$E$53)</f>
        <v>0</v>
      </c>
      <c r="F85" s="65">
        <f>SUMIFS(TablaEgreso[Egreso Total],TablaEgreso[Categoría],B85,TablaEgreso[Fecha],"&gt;="&amp;$F$52,TablaEgreso[Fecha],"&lt;="&amp;$F$53)</f>
        <v>0</v>
      </c>
      <c r="G85" s="65">
        <f>SUMIFS(TablaEgreso[Egreso Total],TablaEgreso[Categoría],B85,TablaEgreso[Fecha],"&gt;="&amp;$G$52,TablaEgreso[Fecha],"&lt;="&amp;$G$53)</f>
        <v>0</v>
      </c>
      <c r="H85" s="65">
        <f>SUMIFS(TablaEgreso[Egreso Total],TablaEgreso[Categoría],B85,TablaEgreso[Fecha],"&gt;="&amp;$H$52,TablaEgreso[Fecha],"&lt;="&amp;$H$53)</f>
        <v>0</v>
      </c>
      <c r="I85" s="65">
        <f>SUMIFS(TablaEgreso[Egreso Total],TablaEgreso[Categoría],B85,TablaEgreso[Fecha],"&gt;="&amp;$I$52,TablaEgreso[Fecha],"&lt;="&amp;$I$53)</f>
        <v>0</v>
      </c>
      <c r="J85" s="65">
        <f>SUMIFS(TablaEgreso[Egreso Total],TablaEgreso[Categoría],B85,TablaEgreso[Fecha],"&gt;="&amp;$J$52,TablaEgreso[Fecha],"&lt;="&amp;$J$53)</f>
        <v>0</v>
      </c>
      <c r="K85" s="65">
        <f>SUMIFS(TablaEgreso[Egreso Total],TablaEgreso[Categoría],B85,TablaEgreso[Fecha],"&gt;="&amp;$K$52,TablaEgreso[Fecha],"&lt;="&amp;$K$53)</f>
        <v>0</v>
      </c>
      <c r="L85" s="65">
        <f>SUMIFS(TablaEgreso[Egreso Total],TablaEgreso[Categoría],B85,TablaEgreso[Fecha],"&gt;="&amp;$L$52,TablaEgreso[Fecha],"&lt;="&amp;$L$53)</f>
        <v>0</v>
      </c>
      <c r="M85" s="65">
        <f>SUMIFS(TablaEgreso[Egreso Total],TablaEgreso[Categoría],B85,TablaEgreso[Fecha],"&gt;="&amp;$M$52,TablaEgreso[Fecha],"&lt;="&amp;$M$53)</f>
        <v>0</v>
      </c>
      <c r="N85" s="65">
        <f>SUMIFS(TablaEgreso[Egreso Total],TablaEgreso[Categoría],B85,TablaEgreso[Fecha],"&gt;="&amp;$N$52,TablaEgreso[Fecha],"&lt;="&amp;$N$53)</f>
        <v>0</v>
      </c>
    </row>
    <row r="86" spans="2:14" ht="20.100000000000001" customHeight="1" x14ac:dyDescent="0.25">
      <c r="B86" s="41" t="str">
        <f t="array" ref="B86">Configuración!E42:E76</f>
        <v>Stopcar</v>
      </c>
      <c r="C86" s="65">
        <f>SUMIFS(TablaEgreso[Egreso Total],TablaEgreso[Categoría],B86,TablaEgreso[Fecha],"&gt;="&amp;$C$52,TablaEgreso[Fecha],"&lt;="&amp;$C$53)</f>
        <v>0</v>
      </c>
      <c r="D86" s="65">
        <f>SUMIFS(TablaEgreso[Egreso Total],TablaEgreso[Categoría],B86,TablaEgreso[Fecha],"&gt;="&amp;$D$52,TablaEgreso[Fecha],"&lt;="&amp;$D$53)</f>
        <v>62083.35</v>
      </c>
      <c r="E86" s="65">
        <f>SUMIFS(TablaEgreso[Egreso Total],TablaEgreso[Categoría],B86,TablaEgreso[Fecha],"&gt;="&amp;$E$52,TablaEgreso[Fecha],"&lt;="&amp;$E$53)</f>
        <v>0</v>
      </c>
      <c r="F86" s="65">
        <f>SUMIFS(TablaEgreso[Egreso Total],TablaEgreso[Categoría],B86,TablaEgreso[Fecha],"&gt;="&amp;$F$52,TablaEgreso[Fecha],"&lt;="&amp;$F$53)</f>
        <v>0</v>
      </c>
      <c r="G86" s="65">
        <f>SUMIFS(TablaEgreso[Egreso Total],TablaEgreso[Categoría],B86,TablaEgreso[Fecha],"&gt;="&amp;$G$52,TablaEgreso[Fecha],"&lt;="&amp;$G$53)</f>
        <v>0</v>
      </c>
      <c r="H86" s="65">
        <f>SUMIFS(TablaEgreso[Egreso Total],TablaEgreso[Categoría],B86,TablaEgreso[Fecha],"&gt;="&amp;$H$52,TablaEgreso[Fecha],"&lt;="&amp;$H$53)</f>
        <v>0</v>
      </c>
      <c r="I86" s="65">
        <f>SUMIFS(TablaEgreso[Egreso Total],TablaEgreso[Categoría],B86,TablaEgreso[Fecha],"&gt;="&amp;$I$52,TablaEgreso[Fecha],"&lt;="&amp;$I$53)</f>
        <v>0</v>
      </c>
      <c r="J86" s="65">
        <f>SUMIFS(TablaEgreso[Egreso Total],TablaEgreso[Categoría],B86,TablaEgreso[Fecha],"&gt;="&amp;$J$52,TablaEgreso[Fecha],"&lt;="&amp;$J$53)</f>
        <v>0</v>
      </c>
      <c r="K86" s="65">
        <f>SUMIFS(TablaEgreso[Egreso Total],TablaEgreso[Categoría],B86,TablaEgreso[Fecha],"&gt;="&amp;$K$52,TablaEgreso[Fecha],"&lt;="&amp;$K$53)</f>
        <v>0</v>
      </c>
      <c r="L86" s="65">
        <f>SUMIFS(TablaEgreso[Egreso Total],TablaEgreso[Categoría],B86,TablaEgreso[Fecha],"&gt;="&amp;$L$52,TablaEgreso[Fecha],"&lt;="&amp;$L$53)</f>
        <v>0</v>
      </c>
      <c r="M86" s="65">
        <f>SUMIFS(TablaEgreso[Egreso Total],TablaEgreso[Categoría],B86,TablaEgreso[Fecha],"&gt;="&amp;$M$52,TablaEgreso[Fecha],"&lt;="&amp;$M$53)</f>
        <v>0</v>
      </c>
      <c r="N86" s="65">
        <f>SUMIFS(TablaEgreso[Egreso Total],TablaEgreso[Categoría],B86,TablaEgreso[Fecha],"&gt;="&amp;$N$52,TablaEgreso[Fecha],"&lt;="&amp;$N$53)</f>
        <v>0</v>
      </c>
    </row>
    <row r="87" spans="2:14" ht="20.100000000000001" customHeight="1" x14ac:dyDescent="0.25">
      <c r="B87" s="41" t="str">
        <f t="array" ref="B87">Configuración!E43:E77</f>
        <v>Sueldos</v>
      </c>
      <c r="C87" s="65">
        <f>SUMIFS(TablaEgreso[Egreso Total],TablaEgreso[Categoría],B87,TablaEgreso[Fecha],"&gt;="&amp;$C$52,TablaEgreso[Fecha],"&lt;="&amp;$C$53)</f>
        <v>0</v>
      </c>
      <c r="D87" s="65">
        <f>SUMIFS(TablaEgreso[Egreso Total],TablaEgreso[Categoría],B87,TablaEgreso[Fecha],"&gt;="&amp;$D$52,TablaEgreso[Fecha],"&lt;="&amp;$D$53)</f>
        <v>4789291.8</v>
      </c>
      <c r="E87" s="65">
        <f>SUMIFS(TablaEgreso[Egreso Total],TablaEgreso[Categoría],B87,TablaEgreso[Fecha],"&gt;="&amp;$E$52,TablaEgreso[Fecha],"&lt;="&amp;$E$53)</f>
        <v>0</v>
      </c>
      <c r="F87" s="65">
        <f>SUMIFS(TablaEgreso[Egreso Total],TablaEgreso[Categoría],B87,TablaEgreso[Fecha],"&gt;="&amp;$F$52,TablaEgreso[Fecha],"&lt;="&amp;$F$53)</f>
        <v>0</v>
      </c>
      <c r="G87" s="65">
        <f>SUMIFS(TablaEgreso[Egreso Total],TablaEgreso[Categoría],B87,TablaEgreso[Fecha],"&gt;="&amp;$G$52,TablaEgreso[Fecha],"&lt;="&amp;$G$53)</f>
        <v>0</v>
      </c>
      <c r="H87" s="65">
        <f>SUMIFS(TablaEgreso[Egreso Total],TablaEgreso[Categoría],B87,TablaEgreso[Fecha],"&gt;="&amp;$H$52,TablaEgreso[Fecha],"&lt;="&amp;$H$53)</f>
        <v>0</v>
      </c>
      <c r="I87" s="65">
        <f>SUMIFS(TablaEgreso[Egreso Total],TablaEgreso[Categoría],B87,TablaEgreso[Fecha],"&gt;="&amp;$I$52,TablaEgreso[Fecha],"&lt;="&amp;$I$53)</f>
        <v>0</v>
      </c>
      <c r="J87" s="65">
        <f>SUMIFS(TablaEgreso[Egreso Total],TablaEgreso[Categoría],B87,TablaEgreso[Fecha],"&gt;="&amp;$J$52,TablaEgreso[Fecha],"&lt;="&amp;$J$53)</f>
        <v>0</v>
      </c>
      <c r="K87" s="65">
        <f>SUMIFS(TablaEgreso[Egreso Total],TablaEgreso[Categoría],B87,TablaEgreso[Fecha],"&gt;="&amp;$K$52,TablaEgreso[Fecha],"&lt;="&amp;$K$53)</f>
        <v>0</v>
      </c>
      <c r="L87" s="65">
        <f>SUMIFS(TablaEgreso[Egreso Total],TablaEgreso[Categoría],B87,TablaEgreso[Fecha],"&gt;="&amp;$L$52,TablaEgreso[Fecha],"&lt;="&amp;$L$53)</f>
        <v>0</v>
      </c>
      <c r="M87" s="65">
        <f>SUMIFS(TablaEgreso[Egreso Total],TablaEgreso[Categoría],B87,TablaEgreso[Fecha],"&gt;="&amp;$M$52,TablaEgreso[Fecha],"&lt;="&amp;$M$53)</f>
        <v>0</v>
      </c>
      <c r="N87" s="65">
        <f>SUMIFS(TablaEgreso[Egreso Total],TablaEgreso[Categoría],B87,TablaEgreso[Fecha],"&gt;="&amp;$N$52,TablaEgreso[Fecha],"&lt;="&amp;$N$53)</f>
        <v>0</v>
      </c>
    </row>
    <row r="88" spans="2:14" ht="20.100000000000001" customHeight="1" x14ac:dyDescent="0.25">
      <c r="B88" s="41" t="str">
        <f t="array" ref="B88">Configuración!E44:E78</f>
        <v>Transporte/Encomienda</v>
      </c>
      <c r="C88" s="65">
        <f>SUMIFS(TablaEgreso[Egreso Total],TablaEgreso[Categoría],B88,TablaEgreso[Fecha],"&gt;="&amp;$C$52,TablaEgreso[Fecha],"&lt;="&amp;$C$53)</f>
        <v>0</v>
      </c>
      <c r="D88" s="65">
        <f>SUMIFS(TablaEgreso[Egreso Total],TablaEgreso[Categoría],B88,TablaEgreso[Fecha],"&gt;="&amp;$D$52,TablaEgreso[Fecha],"&lt;="&amp;$D$53)</f>
        <v>3804010.66</v>
      </c>
      <c r="E88" s="65">
        <f>SUMIFS(TablaEgreso[Egreso Total],TablaEgreso[Categoría],B88,TablaEgreso[Fecha],"&gt;="&amp;$E$52,TablaEgreso[Fecha],"&lt;="&amp;$E$53)</f>
        <v>0</v>
      </c>
      <c r="F88" s="65">
        <f>SUMIFS(TablaEgreso[Egreso Total],TablaEgreso[Categoría],B88,TablaEgreso[Fecha],"&gt;="&amp;$F$52,TablaEgreso[Fecha],"&lt;="&amp;$F$53)</f>
        <v>0</v>
      </c>
      <c r="G88" s="65">
        <f>SUMIFS(TablaEgreso[Egreso Total],TablaEgreso[Categoría],B88,TablaEgreso[Fecha],"&gt;="&amp;$G$52,TablaEgreso[Fecha],"&lt;="&amp;$G$53)</f>
        <v>0</v>
      </c>
      <c r="H88" s="65">
        <f>SUMIFS(TablaEgreso[Egreso Total],TablaEgreso[Categoría],B88,TablaEgreso[Fecha],"&gt;="&amp;$H$52,TablaEgreso[Fecha],"&lt;="&amp;$H$53)</f>
        <v>0</v>
      </c>
      <c r="I88" s="65">
        <f>SUMIFS(TablaEgreso[Egreso Total],TablaEgreso[Categoría],B88,TablaEgreso[Fecha],"&gt;="&amp;$I$52,TablaEgreso[Fecha],"&lt;="&amp;$I$53)</f>
        <v>0</v>
      </c>
      <c r="J88" s="65">
        <f>SUMIFS(TablaEgreso[Egreso Total],TablaEgreso[Categoría],B88,TablaEgreso[Fecha],"&gt;="&amp;$J$52,TablaEgreso[Fecha],"&lt;="&amp;$J$53)</f>
        <v>0</v>
      </c>
      <c r="K88" s="65">
        <f>SUMIFS(TablaEgreso[Egreso Total],TablaEgreso[Categoría],B88,TablaEgreso[Fecha],"&gt;="&amp;$K$52,TablaEgreso[Fecha],"&lt;="&amp;$K$53)</f>
        <v>0</v>
      </c>
      <c r="L88" s="65">
        <f>SUMIFS(TablaEgreso[Egreso Total],TablaEgreso[Categoría],B88,TablaEgreso[Fecha],"&gt;="&amp;$L$52,TablaEgreso[Fecha],"&lt;="&amp;$L$53)</f>
        <v>0</v>
      </c>
      <c r="M88" s="65">
        <f>SUMIFS(TablaEgreso[Egreso Total],TablaEgreso[Categoría],B88,TablaEgreso[Fecha],"&gt;="&amp;$M$52,TablaEgreso[Fecha],"&lt;="&amp;$M$53)</f>
        <v>0</v>
      </c>
      <c r="N88" s="65">
        <f>SUMIFS(TablaEgreso[Egreso Total],TablaEgreso[Categoría],B88,TablaEgreso[Fecha],"&gt;="&amp;$N$52,TablaEgreso[Fecha],"&lt;="&amp;$N$53)</f>
        <v>0</v>
      </c>
    </row>
    <row r="89" spans="2:14" ht="20.100000000000001" customHeight="1" x14ac:dyDescent="0.25">
      <c r="B89" s="75" t="s">
        <v>62</v>
      </c>
      <c r="C89" s="62">
        <f>SUM(C54:C88)</f>
        <v>0</v>
      </c>
      <c r="D89" s="62">
        <f t="shared" ref="D89:N89" si="1">SUM(D54:D78)</f>
        <v>41114870.345999993</v>
      </c>
      <c r="E89" s="62">
        <f t="shared" si="1"/>
        <v>0</v>
      </c>
      <c r="F89" s="62">
        <f t="shared" si="1"/>
        <v>0</v>
      </c>
      <c r="G89" s="62">
        <f t="shared" si="1"/>
        <v>0</v>
      </c>
      <c r="H89" s="62">
        <f t="shared" si="1"/>
        <v>0</v>
      </c>
      <c r="I89" s="62">
        <f t="shared" si="1"/>
        <v>0</v>
      </c>
      <c r="J89" s="62">
        <f t="shared" si="1"/>
        <v>0</v>
      </c>
      <c r="K89" s="62">
        <f t="shared" si="1"/>
        <v>0</v>
      </c>
      <c r="L89" s="62">
        <f t="shared" si="1"/>
        <v>0</v>
      </c>
      <c r="M89" s="62">
        <f t="shared" si="1"/>
        <v>0</v>
      </c>
      <c r="N89" s="62">
        <f t="shared" si="1"/>
        <v>0</v>
      </c>
    </row>
    <row r="90" spans="2:14" ht="20.100000000000001" customHeight="1" x14ac:dyDescent="0.25">
      <c r="B90" s="76" t="s">
        <v>83</v>
      </c>
      <c r="C90" s="65">
        <f>SUMIFS(TablaEgreso[Total Crédito Fiscal],TablaEgreso[Fecha],"&gt;="&amp;$C$52,TablaEgreso[Fecha],"&lt;="&amp;$C$53)</f>
        <v>0</v>
      </c>
      <c r="D90" s="65">
        <f>SUMIFS(TablaEgreso[Total Crédito Fiscal],TablaEgreso[Fecha],"&gt;="&amp;$D$52,TablaEgreso[Fecha],"&lt;="&amp;$D$53)</f>
        <v>0</v>
      </c>
      <c r="E90" s="65">
        <f>SUMIFS(TablaEgreso[Total Crédito Fiscal],TablaEgreso[Fecha],"&gt;="&amp;$E$52,TablaEgreso[Fecha],"&lt;="&amp;$E$53)</f>
        <v>0</v>
      </c>
      <c r="F90" s="65">
        <f>SUMIFS(TablaEgreso[Total Crédito Fiscal],TablaEgreso[Fecha],"&gt;="&amp;$F$52,TablaEgreso[Fecha],"&lt;="&amp;$F$53)</f>
        <v>0</v>
      </c>
      <c r="G90" s="65">
        <f>SUMIFS(TablaEgreso[Total Crédito Fiscal],TablaEgreso[Fecha],"&gt;="&amp;$G$52,TablaEgreso[Fecha],"&lt;="&amp;$G$53)</f>
        <v>0</v>
      </c>
      <c r="H90" s="65">
        <f>SUMIFS(TablaEgreso[Total Crédito Fiscal],TablaEgreso[Fecha],"&gt;="&amp;$H$52,TablaEgreso[Fecha],"&lt;="&amp;$H$53)</f>
        <v>0</v>
      </c>
      <c r="I90" s="65">
        <f>SUMIFS(TablaEgreso[Total Crédito Fiscal],TablaEgreso[Fecha],"&gt;="&amp;$I$52,TablaEgreso[Fecha],"&lt;="&amp;$I$53)</f>
        <v>0</v>
      </c>
      <c r="J90" s="65">
        <f>SUMIFS(TablaEgreso[Total Crédito Fiscal],TablaEgreso[Fecha],"&gt;="&amp;$J$52,TablaEgreso[Fecha],"&lt;="&amp;$J$53)</f>
        <v>0</v>
      </c>
      <c r="K90" s="65">
        <f>SUMIFS(TablaEgreso[Total Crédito Fiscal],TablaEgreso[Fecha],"&gt;="&amp;$K$52,TablaEgreso[Fecha],"&lt;="&amp;$K$53)</f>
        <v>0</v>
      </c>
      <c r="L90" s="65">
        <f>SUMIFS(TablaEgreso[Total Crédito Fiscal],TablaEgreso[Fecha],"&gt;="&amp;$L$52,TablaEgreso[Fecha],"&lt;="&amp;$L$53)</f>
        <v>0</v>
      </c>
      <c r="M90" s="65">
        <f>SUMIFS(TablaEgreso[Total Crédito Fiscal],TablaEgreso[Fecha],"&gt;="&amp;$M$52,TablaEgreso[Fecha],"&lt;="&amp;$M$53)</f>
        <v>0</v>
      </c>
      <c r="N90" s="65">
        <f>SUMIFS(TablaEgreso[Total Crédito Fiscal],TablaEgreso[Fecha],"&gt;="&amp;$N$52,TablaEgreso[Fecha],"&lt;="&amp;$N$53)</f>
        <v>0</v>
      </c>
    </row>
    <row r="91" spans="2:14" ht="24.95" customHeight="1" x14ac:dyDescent="0.25"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ht="20.100000000000001" customHeight="1" x14ac:dyDescent="0.25">
      <c r="B92" s="57"/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s="57" customFormat="1" ht="20.100000000000001" customHeight="1" x14ac:dyDescent="0.25"/>
    <row r="94" spans="2:14" s="57" customFormat="1" ht="20.100000000000001" customHeight="1" x14ac:dyDescent="0.25"/>
    <row r="95" spans="2:14" s="57" customFormat="1" ht="20.100000000000001" customHeight="1" x14ac:dyDescent="0.25"/>
    <row r="96" spans="2:14" ht="35.1" customHeight="1" x14ac:dyDescent="0.25"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ht="24.95" customHeight="1" x14ac:dyDescent="0.25"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ht="24.95" customHeight="1" x14ac:dyDescent="0.25"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ht="24.95" customHeight="1" x14ac:dyDescent="0.25"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ht="24.95" customHeight="1" x14ac:dyDescent="0.25"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ht="24.95" customHeight="1" x14ac:dyDescent="0.25"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s="57" customFormat="1" ht="20.100000000000001" customHeight="1" x14ac:dyDescent="0.25">
      <c r="B102" s="189" t="s">
        <v>86</v>
      </c>
      <c r="C102" s="190"/>
      <c r="D102" s="190"/>
      <c r="E102" s="190"/>
      <c r="F102" s="190"/>
      <c r="G102" s="190"/>
      <c r="H102" s="190"/>
      <c r="I102" s="190"/>
      <c r="J102" s="190"/>
      <c r="K102" s="190"/>
      <c r="L102" s="190"/>
      <c r="M102" s="190"/>
      <c r="N102" s="191"/>
    </row>
    <row r="103" spans="2:14" s="57" customFormat="1" ht="20.100000000000001" customHeight="1" x14ac:dyDescent="0.25">
      <c r="B103" s="192" t="s">
        <v>87</v>
      </c>
      <c r="C103" s="80">
        <f>EDATE($B$6,0)</f>
        <v>45597</v>
      </c>
      <c r="D103" s="80">
        <f>EDATE($B$6,1)</f>
        <v>45627</v>
      </c>
      <c r="E103" s="80">
        <f>EDATE($B$6,2)</f>
        <v>45658</v>
      </c>
      <c r="F103" s="80">
        <f>EDATE($B$6,3)</f>
        <v>45689</v>
      </c>
      <c r="G103" s="80">
        <f>EDATE($B$6,4)</f>
        <v>45717</v>
      </c>
      <c r="H103" s="80">
        <f>EDATE($B$6,5)</f>
        <v>45748</v>
      </c>
      <c r="I103" s="80">
        <f>EDATE($B$6,6)</f>
        <v>45778</v>
      </c>
      <c r="J103" s="80">
        <f>EDATE($B$6,7)</f>
        <v>45809</v>
      </c>
      <c r="K103" s="80">
        <f>EDATE($B$6,8)</f>
        <v>45839</v>
      </c>
      <c r="L103" s="80">
        <f>EDATE($B$6,9)</f>
        <v>45870</v>
      </c>
      <c r="M103" s="80">
        <f>EDATE($B$6,10)</f>
        <v>45901</v>
      </c>
      <c r="N103" s="81">
        <f>EDATE($B$6,11)</f>
        <v>45931</v>
      </c>
    </row>
    <row r="104" spans="2:14" s="57" customFormat="1" ht="20.100000000000001" customHeight="1" x14ac:dyDescent="0.25">
      <c r="B104" s="193"/>
      <c r="C104" s="82">
        <f>Configuración!$I$12</f>
        <v>45626</v>
      </c>
      <c r="D104" s="82">
        <f>Configuración!$I$13</f>
        <v>45657</v>
      </c>
      <c r="E104" s="82">
        <f>Configuración!$I$14</f>
        <v>45688</v>
      </c>
      <c r="F104" s="82">
        <f>Configuración!$I$15</f>
        <v>45716</v>
      </c>
      <c r="G104" s="82">
        <f>Configuración!$I$16</f>
        <v>45747</v>
      </c>
      <c r="H104" s="82">
        <f>Configuración!$I$17</f>
        <v>45777</v>
      </c>
      <c r="I104" s="82">
        <f>Configuración!$I$18</f>
        <v>45808</v>
      </c>
      <c r="J104" s="82">
        <f>Configuración!$I$19</f>
        <v>45838</v>
      </c>
      <c r="K104" s="82">
        <f>Configuración!$I$20</f>
        <v>45869</v>
      </c>
      <c r="L104" s="82">
        <f>Configuración!$I$21</f>
        <v>45900</v>
      </c>
      <c r="M104" s="82">
        <f>Configuración!$I$22</f>
        <v>45930</v>
      </c>
      <c r="N104" s="83">
        <f>Configuración!$I$23</f>
        <v>45961</v>
      </c>
    </row>
    <row r="105" spans="2:14" s="57" customFormat="1" ht="20.100000000000001" customHeight="1" x14ac:dyDescent="0.25">
      <c r="B105" s="84" t="s">
        <v>84</v>
      </c>
      <c r="C105" s="85">
        <f>Configuración!$K$12</f>
        <v>600000</v>
      </c>
      <c r="D105" s="85">
        <f>Configuración!$K$13</f>
        <v>600000</v>
      </c>
      <c r="E105" s="85">
        <f>Configuración!$K$14</f>
        <v>600000</v>
      </c>
      <c r="F105" s="85">
        <f>Configuración!$K$15</f>
        <v>600000</v>
      </c>
      <c r="G105" s="85">
        <f>Configuración!$K$16</f>
        <v>600000</v>
      </c>
      <c r="H105" s="85">
        <f>Configuración!$K$17</f>
        <v>600000</v>
      </c>
      <c r="I105" s="85">
        <f>Configuración!$K$18</f>
        <v>600000</v>
      </c>
      <c r="J105" s="85">
        <f>Configuración!$K$19</f>
        <v>600000</v>
      </c>
      <c r="K105" s="85">
        <f>Configuración!$K$20</f>
        <v>600000</v>
      </c>
      <c r="L105" s="85">
        <f>Configuración!$K$21</f>
        <v>1200000</v>
      </c>
      <c r="M105" s="85">
        <f>Configuración!$K$22</f>
        <v>1800000</v>
      </c>
      <c r="N105" s="85">
        <f>Configuración!$K$23</f>
        <v>3600000</v>
      </c>
    </row>
    <row r="106" spans="2:14" s="57" customFormat="1" ht="20.100000000000001" customHeight="1" x14ac:dyDescent="0.25">
      <c r="B106" s="88" t="s">
        <v>85</v>
      </c>
      <c r="C106" s="89">
        <f>$C$47</f>
        <v>0</v>
      </c>
      <c r="D106" s="89">
        <f>$D$47</f>
        <v>282844485.81999999</v>
      </c>
      <c r="E106" s="89">
        <f>$E$47</f>
        <v>0</v>
      </c>
      <c r="F106" s="89">
        <f>$F$47</f>
        <v>0</v>
      </c>
      <c r="G106" s="89">
        <f>$G$47</f>
        <v>0</v>
      </c>
      <c r="H106" s="89">
        <f>$H$47</f>
        <v>0</v>
      </c>
      <c r="I106" s="89">
        <f>$I$47</f>
        <v>0</v>
      </c>
      <c r="J106" s="89">
        <f>$J$47</f>
        <v>0</v>
      </c>
      <c r="K106" s="89">
        <f>$K$47</f>
        <v>0</v>
      </c>
      <c r="L106" s="89">
        <f>$L$47</f>
        <v>0</v>
      </c>
      <c r="M106" s="89">
        <f>$M$47</f>
        <v>0</v>
      </c>
      <c r="N106" s="89">
        <f>$N$47</f>
        <v>0</v>
      </c>
    </row>
    <row r="107" spans="2:14" s="57" customFormat="1" ht="20.100000000000001" customHeight="1" x14ac:dyDescent="0.25">
      <c r="B107" s="86" t="s">
        <v>88</v>
      </c>
      <c r="C107" s="87" t="s">
        <v>89</v>
      </c>
      <c r="D107" s="87" t="s">
        <v>89</v>
      </c>
      <c r="E107" s="87" t="s">
        <v>89</v>
      </c>
      <c r="F107" s="87" t="s">
        <v>89</v>
      </c>
      <c r="G107" s="87" t="s">
        <v>89</v>
      </c>
      <c r="H107" s="87" t="s">
        <v>89</v>
      </c>
      <c r="I107" s="87" t="s">
        <v>89</v>
      </c>
      <c r="J107" s="87" t="s">
        <v>89</v>
      </c>
      <c r="K107" s="87" t="s">
        <v>89</v>
      </c>
      <c r="L107" s="87" t="s">
        <v>89</v>
      </c>
      <c r="M107" s="87" t="s">
        <v>89</v>
      </c>
      <c r="N107" s="87" t="s">
        <v>89</v>
      </c>
    </row>
    <row r="108" spans="2:14" s="57" customFormat="1" ht="20.100000000000001" customHeight="1" x14ac:dyDescent="0.25"/>
    <row r="109" spans="2:14" s="57" customFormat="1" ht="20.100000000000001" customHeight="1" x14ac:dyDescent="0.25"/>
    <row r="110" spans="2:14" s="57" customFormat="1" ht="20.100000000000001" customHeight="1" x14ac:dyDescent="0.25"/>
    <row r="111" spans="2:14" s="57" customFormat="1" ht="20.100000000000001" customHeight="1" x14ac:dyDescent="0.25"/>
    <row r="112" spans="2:14" s="57" customFormat="1" ht="20.100000000000001" customHeight="1" x14ac:dyDescent="0.25"/>
    <row r="113" s="57" customFormat="1" ht="20.100000000000001" customHeight="1" x14ac:dyDescent="0.25"/>
    <row r="114" s="57" customFormat="1" ht="20.100000000000001" customHeight="1" x14ac:dyDescent="0.25"/>
    <row r="115" s="57" customFormat="1" ht="20.100000000000001" customHeight="1" x14ac:dyDescent="0.25"/>
    <row r="116" s="57" customFormat="1" ht="20.100000000000001" customHeight="1" x14ac:dyDescent="0.25"/>
    <row r="117" s="57" customFormat="1" ht="20.100000000000001" customHeight="1" x14ac:dyDescent="0.25"/>
    <row r="118" s="57" customFormat="1" ht="20.100000000000001" customHeight="1" x14ac:dyDescent="0.25"/>
    <row r="119" s="57" customFormat="1" ht="20.100000000000001" customHeight="1" x14ac:dyDescent="0.25"/>
    <row r="120" s="57" customFormat="1" ht="20.100000000000001" customHeight="1" x14ac:dyDescent="0.25"/>
    <row r="121" s="57" customFormat="1" ht="20.100000000000001" customHeight="1" x14ac:dyDescent="0.25"/>
    <row r="122" s="57" customFormat="1" ht="20.100000000000001" customHeight="1" x14ac:dyDescent="0.25"/>
    <row r="123" s="57" customFormat="1" ht="20.100000000000001" customHeight="1" x14ac:dyDescent="0.25"/>
    <row r="124" s="57" customFormat="1" ht="20.100000000000001" customHeight="1" x14ac:dyDescent="0.25"/>
    <row r="125" s="57" customFormat="1" ht="20.100000000000001" customHeight="1" x14ac:dyDescent="0.25"/>
    <row r="126" s="57" customFormat="1" ht="20.100000000000001" customHeight="1" x14ac:dyDescent="0.25"/>
    <row r="127" s="57" customFormat="1" ht="20.100000000000001" customHeight="1" x14ac:dyDescent="0.25"/>
    <row r="128" s="57" customFormat="1" ht="20.100000000000001" customHeight="1" x14ac:dyDescent="0.25"/>
    <row r="129" spans="2:14" s="57" customFormat="1" ht="20.100000000000001" customHeight="1" x14ac:dyDescent="0.25"/>
    <row r="130" spans="2:14" s="57" customFormat="1" ht="20.100000000000001" customHeight="1" x14ac:dyDescent="0.25"/>
    <row r="131" spans="2:14" s="57" customFormat="1" ht="20.100000000000001" customHeight="1" x14ac:dyDescent="0.25"/>
    <row r="132" spans="2:14" s="57" customFormat="1" ht="20.100000000000001" customHeight="1" x14ac:dyDescent="0.25"/>
    <row r="133" spans="2:14" s="57" customFormat="1" ht="20.100000000000001" customHeight="1" x14ac:dyDescent="0.25"/>
    <row r="134" spans="2:14" s="57" customFormat="1" ht="20.100000000000001" customHeight="1" x14ac:dyDescent="0.25"/>
    <row r="135" spans="2:14" s="57" customFormat="1" ht="20.100000000000001" customHeight="1" x14ac:dyDescent="0.25"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</row>
    <row r="136" spans="2:14" s="57" customFormat="1" ht="20.100000000000001" customHeight="1" x14ac:dyDescent="0.25"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</row>
  </sheetData>
  <mergeCells count="20">
    <mergeCell ref="L2:M2"/>
    <mergeCell ref="B20:B21"/>
    <mergeCell ref="B19:N19"/>
    <mergeCell ref="B51:N51"/>
    <mergeCell ref="G5:H5"/>
    <mergeCell ref="G6:H6"/>
    <mergeCell ref="I5:J5"/>
    <mergeCell ref="I6:J6"/>
    <mergeCell ref="K5:L5"/>
    <mergeCell ref="K6:L6"/>
    <mergeCell ref="M5:N5"/>
    <mergeCell ref="E1:J3"/>
    <mergeCell ref="B102:N102"/>
    <mergeCell ref="B103:B104"/>
    <mergeCell ref="B52:B53"/>
    <mergeCell ref="C5:D5"/>
    <mergeCell ref="C6:D6"/>
    <mergeCell ref="E5:F5"/>
    <mergeCell ref="E6:F6"/>
    <mergeCell ref="M6:N6"/>
  </mergeCells>
  <conditionalFormatting sqref="C6:N6 C22:N47 C54:N89">
    <cfRule type="expression" dxfId="31" priority="24">
      <formula>$B$7="Pesos"</formula>
    </cfRule>
    <cfRule type="expression" dxfId="30" priority="25">
      <formula>$B$7="Soles"</formula>
    </cfRule>
    <cfRule type="expression" dxfId="29" priority="26">
      <formula>$B$7="Bolivianos"</formula>
    </cfRule>
    <cfRule type="expression" dxfId="28" priority="27">
      <formula>$B$7="Euros"</formula>
    </cfRule>
    <cfRule type="expression" dxfId="27" priority="28">
      <formula>$B$7="Dólares"</formula>
    </cfRule>
  </conditionalFormatting>
  <conditionalFormatting sqref="C48:N48">
    <cfRule type="expression" dxfId="26" priority="19">
      <formula>$B$7="Pesos"</formula>
    </cfRule>
    <cfRule type="expression" dxfId="25" priority="20">
      <formula>$B$7="Soles"</formula>
    </cfRule>
    <cfRule type="expression" dxfId="24" priority="21">
      <formula>$B$7="Bolivianos"</formula>
    </cfRule>
    <cfRule type="expression" dxfId="23" priority="22">
      <formula>$B$7="Euros"</formula>
    </cfRule>
    <cfRule type="expression" dxfId="22" priority="23">
      <formula>$B$7="Dólares"</formula>
    </cfRule>
  </conditionalFormatting>
  <conditionalFormatting sqref="C90:N90">
    <cfRule type="expression" dxfId="21" priority="14">
      <formula>$B$7="Pesos"</formula>
    </cfRule>
    <cfRule type="expression" dxfId="20" priority="15">
      <formula>$B$7="Soles"</formula>
    </cfRule>
    <cfRule type="expression" dxfId="19" priority="16">
      <formula>$B$7="Bolivianos"</formula>
    </cfRule>
    <cfRule type="expression" dxfId="18" priority="17">
      <formula>$B$7="Euros"</formula>
    </cfRule>
    <cfRule type="expression" dxfId="17" priority="18">
      <formula>$B$7="Dólares"</formula>
    </cfRule>
  </conditionalFormatting>
  <conditionalFormatting sqref="C105:N106">
    <cfRule type="expression" dxfId="16" priority="9">
      <formula>$B$7="Pesos"</formula>
    </cfRule>
    <cfRule type="expression" dxfId="15" priority="10">
      <formula>$B$7="Soles"</formula>
    </cfRule>
    <cfRule type="expression" dxfId="14" priority="11">
      <formula>$B$7="Bolivianos"</formula>
    </cfRule>
    <cfRule type="expression" dxfId="13" priority="12">
      <formula>$B$7="Euros"</formula>
    </cfRule>
    <cfRule type="expression" dxfId="12" priority="13">
      <formula>$B$7="Dólares"</formula>
    </cfRule>
  </conditionalFormatting>
  <conditionalFormatting sqref="C107">
    <cfRule type="expression" dxfId="11" priority="1">
      <formula>C106:N106&gt;=C105:N105</formula>
    </cfRule>
    <cfRule type="expression" dxfId="10" priority="2">
      <formula>C106:N106&lt;C105:N105</formula>
    </cfRule>
  </conditionalFormatting>
  <conditionalFormatting sqref="D107:N107">
    <cfRule type="expression" dxfId="9" priority="52">
      <formula>D100:O100&gt;=D99:O99</formula>
    </cfRule>
    <cfRule type="expression" dxfId="8" priority="53">
      <formula>D100:O100&lt;D99:O99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7ED957"/>
  </sheetPr>
  <dimension ref="A1:Y55"/>
  <sheetViews>
    <sheetView zoomScaleNormal="100" workbookViewId="0">
      <selection activeCell="A4" sqref="A4"/>
    </sheetView>
  </sheetViews>
  <sheetFormatPr baseColWidth="10" defaultRowHeight="20.100000000000001" customHeight="1" x14ac:dyDescent="0.25"/>
  <cols>
    <col min="1" max="1" width="11.42578125" style="9"/>
    <col min="2" max="2" width="20.7109375" style="1" customWidth="1"/>
    <col min="3" max="14" width="18.7109375" style="1" customWidth="1"/>
    <col min="15" max="25" width="11.42578125" style="9"/>
    <col min="26" max="16384" width="11.42578125" style="1"/>
  </cols>
  <sheetData>
    <row r="1" spans="1:15" ht="20.100000000000001" customHeight="1" x14ac:dyDescent="0.25">
      <c r="A1" s="37"/>
      <c r="B1" s="37"/>
      <c r="C1" s="37"/>
      <c r="D1" s="37"/>
      <c r="E1" s="37"/>
      <c r="F1" s="155" t="s">
        <v>95</v>
      </c>
      <c r="G1" s="155"/>
      <c r="H1" s="155"/>
      <c r="I1" s="155"/>
      <c r="J1" s="37"/>
      <c r="K1" s="37"/>
      <c r="L1" s="37"/>
      <c r="M1" s="37"/>
      <c r="N1" s="37"/>
      <c r="O1" s="37"/>
    </row>
    <row r="2" spans="1:15" ht="20.100000000000001" customHeight="1" x14ac:dyDescent="0.25">
      <c r="A2" s="37"/>
      <c r="B2" s="121" t="str">
        <f>Configuración!B17</f>
        <v>Pesos</v>
      </c>
      <c r="C2" s="37"/>
      <c r="D2" s="37"/>
      <c r="E2" s="37"/>
      <c r="F2" s="155"/>
      <c r="G2" s="155"/>
      <c r="H2" s="155"/>
      <c r="I2" s="155"/>
      <c r="J2" s="37"/>
      <c r="K2" s="37"/>
      <c r="L2" s="37"/>
      <c r="M2" s="37"/>
      <c r="N2" s="37"/>
      <c r="O2" s="37"/>
    </row>
    <row r="3" spans="1:15" ht="20.100000000000001" customHeight="1" x14ac:dyDescent="0.25">
      <c r="A3" s="37"/>
      <c r="B3" s="122">
        <f>'Informe Anual'!B6</f>
        <v>45597</v>
      </c>
      <c r="C3" s="37"/>
      <c r="D3" s="37"/>
      <c r="E3" s="37"/>
      <c r="F3" s="155"/>
      <c r="G3" s="155"/>
      <c r="H3" s="155"/>
      <c r="I3" s="155"/>
      <c r="J3" s="37"/>
      <c r="K3" s="37"/>
      <c r="L3" s="37"/>
      <c r="M3" s="37"/>
      <c r="N3" s="37"/>
      <c r="O3" s="37"/>
    </row>
    <row r="4" spans="1:15" s="9" customFormat="1" ht="20.100000000000001" customHeight="1" x14ac:dyDescent="0.25"/>
    <row r="5" spans="1:15" ht="24.95" customHeight="1" x14ac:dyDescent="0.25">
      <c r="B5" s="211" t="s">
        <v>87</v>
      </c>
      <c r="C5" s="119">
        <f>EDATE($B$3,0)</f>
        <v>45597</v>
      </c>
      <c r="D5" s="119">
        <f>EDATE($B$3,1)</f>
        <v>45627</v>
      </c>
      <c r="E5" s="119">
        <f>EDATE($B$3,2)</f>
        <v>45658</v>
      </c>
      <c r="F5" s="119">
        <f>EDATE($B$3,3)</f>
        <v>45689</v>
      </c>
      <c r="G5" s="119">
        <f>EDATE($B$3,4)</f>
        <v>45717</v>
      </c>
      <c r="H5" s="119">
        <f>EDATE($B$3,5)</f>
        <v>45748</v>
      </c>
      <c r="I5" s="119">
        <f>EDATE($B$3,6)</f>
        <v>45778</v>
      </c>
      <c r="J5" s="119">
        <f>EDATE($B$3,7)</f>
        <v>45809</v>
      </c>
      <c r="K5" s="119">
        <f>EDATE($B$3,8)</f>
        <v>45839</v>
      </c>
      <c r="L5" s="119">
        <f>EDATE($B$3,9)</f>
        <v>45870</v>
      </c>
      <c r="M5" s="119">
        <f>EDATE($B$3,10)</f>
        <v>45901</v>
      </c>
      <c r="N5" s="120">
        <f>EDATE($B$3,11)</f>
        <v>45931</v>
      </c>
    </row>
    <row r="6" spans="1:15" ht="24.95" customHeight="1" x14ac:dyDescent="0.25">
      <c r="B6" s="211"/>
      <c r="C6" s="117">
        <f>Configuración!$I$12</f>
        <v>45626</v>
      </c>
      <c r="D6" s="117">
        <f>Configuración!$I$13</f>
        <v>45657</v>
      </c>
      <c r="E6" s="117">
        <f>Configuración!$I$14</f>
        <v>45688</v>
      </c>
      <c r="F6" s="117">
        <f>Configuración!$I$15</f>
        <v>45716</v>
      </c>
      <c r="G6" s="117">
        <f>Configuración!$I$16</f>
        <v>45747</v>
      </c>
      <c r="H6" s="117">
        <f>Configuración!$I$17</f>
        <v>45777</v>
      </c>
      <c r="I6" s="117">
        <f>Configuración!$I$18</f>
        <v>45808</v>
      </c>
      <c r="J6" s="117">
        <f>Configuración!$I$19</f>
        <v>45838</v>
      </c>
      <c r="K6" s="117">
        <f>Configuración!$I$20</f>
        <v>45869</v>
      </c>
      <c r="L6" s="117">
        <f>Configuración!$I$21</f>
        <v>45900</v>
      </c>
      <c r="M6" s="117">
        <f>Configuración!$I$22</f>
        <v>45930</v>
      </c>
      <c r="N6" s="118">
        <f>Configuración!$I$23</f>
        <v>45961</v>
      </c>
    </row>
    <row r="7" spans="1:15" ht="24.95" customHeight="1" x14ac:dyDescent="0.25">
      <c r="B7" s="109" t="s">
        <v>91</v>
      </c>
      <c r="C7" s="110">
        <f>SUMIFS(TablaIngresos[Ingreso Neto],TablaIngresos[Fecha],"&gt;="&amp;$C$5,TablaIngresos[Fecha],"&lt;="&amp;$C$6)</f>
        <v>0</v>
      </c>
      <c r="D7" s="110">
        <f>SUMIFS(TablaIngresos[Ingreso Neto],TablaIngresos[Fecha],"&gt;="&amp;$D$5,TablaIngresos[Fecha],"&lt;="&amp;$D$6)</f>
        <v>282844485.82000005</v>
      </c>
      <c r="E7" s="110">
        <f>SUMIFS(TablaIngresos[Ingreso Neto],TablaIngresos[Fecha],"&gt;="&amp;$E$5,TablaIngresos[Fecha],"&lt;="&amp;$E$6)</f>
        <v>0</v>
      </c>
      <c r="F7" s="110">
        <f>SUMIFS(TablaIngresos[Ingreso Neto],TablaIngresos[Fecha],"&gt;="&amp;$F$5,TablaIngresos[Fecha],"&lt;="&amp;$F$6)</f>
        <v>0</v>
      </c>
      <c r="G7" s="110">
        <f>SUMIFS(TablaIngresos[Ingreso Neto],TablaIngresos[Fecha],"&gt;="&amp;$G$5,TablaIngresos[Fecha],"&lt;="&amp;$G$6)</f>
        <v>0</v>
      </c>
      <c r="H7" s="110">
        <f>SUMIFS(TablaIngresos[Ingreso Neto],TablaIngresos[Fecha],"&gt;="&amp;$H$5,TablaIngresos[Fecha],"&lt;="&amp;$H$6)</f>
        <v>0</v>
      </c>
      <c r="I7" s="110">
        <f>SUMIFS(TablaIngresos[Ingreso Neto],TablaIngresos[Fecha],"&gt;="&amp;$I$5,TablaIngresos[Fecha],"&lt;="&amp;$I$6)</f>
        <v>0</v>
      </c>
      <c r="J7" s="110">
        <f>SUMIFS(TablaIngresos[Ingreso Neto],TablaIngresos[Fecha],"&gt;="&amp;$J$5,TablaIngresos[Fecha],"&lt;="&amp;$J$6)</f>
        <v>0</v>
      </c>
      <c r="K7" s="110">
        <f>SUMIFS(TablaIngresos[Ingreso Neto],TablaIngresos[Fecha],"&gt;="&amp;$K$5,TablaIngresos[Fecha],"&lt;="&amp;$K$6)</f>
        <v>0</v>
      </c>
      <c r="L7" s="110">
        <f>SUMIFS(TablaIngresos[Ingreso Neto],TablaIngresos[Fecha],"&gt;="&amp;$L$5,TablaIngresos[Fecha],"&lt;="&amp;$L$6)</f>
        <v>0</v>
      </c>
      <c r="M7" s="110">
        <f>SUMIFS(TablaIngresos[Ingreso Neto],TablaIngresos[Fecha],"&gt;="&amp;$M$5,TablaIngresos[Fecha],"&lt;="&amp;$M$6)</f>
        <v>0</v>
      </c>
      <c r="N7" s="110">
        <f>SUMIFS(TablaIngresos[Ingreso Neto],TablaIngresos[Fecha],"&gt;="&amp;$N$5,TablaIngresos[Fecha],"&lt;="&amp;$N$6)</f>
        <v>0</v>
      </c>
    </row>
    <row r="8" spans="1:15" ht="24.95" customHeight="1" x14ac:dyDescent="0.25">
      <c r="B8" s="111" t="s">
        <v>92</v>
      </c>
      <c r="C8" s="112">
        <f>SUMIFS(TablaEgreso[Egreso Total],TablaEgreso[Fecha],"&gt;="&amp;$C$5,TablaEgreso[Fecha],"&lt;="&amp;$C$6)</f>
        <v>0</v>
      </c>
      <c r="D8" s="112">
        <f>SUMIFS(TablaEgreso[Egreso Total],TablaEgreso[Fecha],"&gt;="&amp;$D$5,TablaEgreso[Fecha],"&lt;="&amp;$D$6)</f>
        <v>91193519.926000029</v>
      </c>
      <c r="E8" s="112">
        <f>SUMIFS(TablaEgreso[Egreso Total],TablaEgreso[Fecha],"&gt;="&amp;$E$5,TablaEgreso[Fecha],"&lt;="&amp;$E$6)</f>
        <v>0</v>
      </c>
      <c r="F8" s="112">
        <f>SUMIFS(TablaEgreso[Egreso Total],TablaEgreso[Fecha],"&gt;="&amp;$F$5,TablaEgreso[Fecha],"&lt;="&amp;$F$6)</f>
        <v>0</v>
      </c>
      <c r="G8" s="112">
        <f>SUMIFS(TablaEgreso[Egreso Total],TablaEgreso[Fecha],"&gt;="&amp;$G$5,TablaEgreso[Fecha],"&lt;="&amp;$G$6)</f>
        <v>0</v>
      </c>
      <c r="H8" s="112">
        <f>SUMIFS(TablaEgreso[Egreso Total],TablaEgreso[Fecha],"&gt;="&amp;$H$5,TablaEgreso[Fecha],"&lt;="&amp;$H$6)</f>
        <v>0</v>
      </c>
      <c r="I8" s="112">
        <f>SUMIFS(TablaEgreso[Egreso Total],TablaEgreso[Fecha],"&gt;="&amp;$I$5,TablaEgreso[Fecha],"&lt;="&amp;$I$6)</f>
        <v>0</v>
      </c>
      <c r="J8" s="112">
        <f>SUMIFS(TablaEgreso[Egreso Total],TablaEgreso[Fecha],"&gt;="&amp;$J$5,TablaEgreso[Fecha],"&lt;="&amp;$J$6)</f>
        <v>0</v>
      </c>
      <c r="K8" s="112">
        <f>SUMIFS(TablaEgreso[Egreso Total],TablaEgreso[Fecha],"&gt;="&amp;$K$5,TablaEgreso[Fecha],"&lt;="&amp;$K$6)</f>
        <v>0</v>
      </c>
      <c r="L8" s="112">
        <f>SUMIFS(TablaEgreso[Egreso Total],TablaEgreso[Fecha],"&gt;="&amp;$L$5,TablaEgreso[Fecha],"&lt;="&amp;$L$6)</f>
        <v>0</v>
      </c>
      <c r="M8" s="112">
        <f>SUMIFS(TablaEgreso[Egreso Total],TablaEgreso[Fecha],"&gt;="&amp;$M$5,TablaEgreso[Fecha],"&lt;="&amp;$M$6)</f>
        <v>0</v>
      </c>
      <c r="N8" s="112">
        <f>SUMIFS(TablaEgreso[Egreso Total],TablaEgreso[Fecha],"&gt;="&amp;$N$5,TablaEgreso[Fecha],"&lt;="&amp;$N$6)</f>
        <v>0</v>
      </c>
    </row>
    <row r="9" spans="1:15" ht="24.95" customHeight="1" x14ac:dyDescent="0.25">
      <c r="B9" s="113" t="s">
        <v>94</v>
      </c>
      <c r="C9" s="114">
        <f>$C$7-$C$8</f>
        <v>0</v>
      </c>
      <c r="D9" s="114">
        <f>$D$7-$D$8</f>
        <v>191650965.89400002</v>
      </c>
      <c r="E9" s="114">
        <f>$E$7-$E$8</f>
        <v>0</v>
      </c>
      <c r="F9" s="114">
        <f>$F$7-$F$8</f>
        <v>0</v>
      </c>
      <c r="G9" s="114">
        <f>$G$7-$G$8</f>
        <v>0</v>
      </c>
      <c r="H9" s="114">
        <f>$H$7-$H$8</f>
        <v>0</v>
      </c>
      <c r="I9" s="114">
        <f>$I$7-$I$8</f>
        <v>0</v>
      </c>
      <c r="J9" s="114">
        <f>$J$7-$J$8</f>
        <v>0</v>
      </c>
      <c r="K9" s="114">
        <f>$K$7-$K$8</f>
        <v>0</v>
      </c>
      <c r="L9" s="114">
        <f>$L$7-$L$8</f>
        <v>0</v>
      </c>
      <c r="M9" s="114">
        <f>$M$7-$M$8</f>
        <v>0</v>
      </c>
      <c r="N9" s="114">
        <f>$N$7-$N$8</f>
        <v>0</v>
      </c>
    </row>
    <row r="10" spans="1:15" s="9" customFormat="1" ht="20.100000000000001" customHeight="1" x14ac:dyDescent="0.25"/>
    <row r="11" spans="1:15" ht="30" customHeight="1" x14ac:dyDescent="0.25">
      <c r="B11" s="115" t="s">
        <v>93</v>
      </c>
      <c r="C11" s="116">
        <f>$C$9</f>
        <v>0</v>
      </c>
      <c r="D11" s="116">
        <f t="shared" ref="D11:N11" si="0">C11+D9</f>
        <v>191650965.89400002</v>
      </c>
      <c r="E11" s="116">
        <f t="shared" si="0"/>
        <v>191650965.89400002</v>
      </c>
      <c r="F11" s="116">
        <f t="shared" si="0"/>
        <v>191650965.89400002</v>
      </c>
      <c r="G11" s="116">
        <f t="shared" si="0"/>
        <v>191650965.89400002</v>
      </c>
      <c r="H11" s="116">
        <f t="shared" si="0"/>
        <v>191650965.89400002</v>
      </c>
      <c r="I11" s="116">
        <f t="shared" si="0"/>
        <v>191650965.89400002</v>
      </c>
      <c r="J11" s="116">
        <f t="shared" si="0"/>
        <v>191650965.89400002</v>
      </c>
      <c r="K11" s="116">
        <f t="shared" si="0"/>
        <v>191650965.89400002</v>
      </c>
      <c r="L11" s="116">
        <f t="shared" si="0"/>
        <v>191650965.89400002</v>
      </c>
      <c r="M11" s="116">
        <f t="shared" si="0"/>
        <v>191650965.89400002</v>
      </c>
      <c r="N11" s="116">
        <f t="shared" si="0"/>
        <v>191650965.89400002</v>
      </c>
    </row>
    <row r="12" spans="1:15" s="9" customFormat="1" ht="20.100000000000001" customHeight="1" x14ac:dyDescent="0.25"/>
    <row r="13" spans="1:15" s="9" customFormat="1" ht="20.100000000000001" customHeight="1" x14ac:dyDescent="0.25"/>
    <row r="14" spans="1:15" s="9" customFormat="1" ht="20.100000000000001" customHeight="1" x14ac:dyDescent="0.25"/>
    <row r="15" spans="1:15" s="9" customFormat="1" ht="20.100000000000001" customHeight="1" x14ac:dyDescent="0.25"/>
    <row r="16" spans="1:15" s="9" customFormat="1" ht="20.100000000000001" customHeight="1" x14ac:dyDescent="0.25"/>
    <row r="17" s="9" customFormat="1" ht="20.100000000000001" customHeight="1" x14ac:dyDescent="0.25"/>
    <row r="18" s="9" customFormat="1" ht="20.100000000000001" customHeight="1" x14ac:dyDescent="0.25"/>
    <row r="19" s="9" customFormat="1" ht="20.100000000000001" customHeight="1" x14ac:dyDescent="0.25"/>
    <row r="20" s="9" customFormat="1" ht="20.100000000000001" customHeight="1" x14ac:dyDescent="0.25"/>
    <row r="21" s="9" customFormat="1" ht="20.100000000000001" customHeight="1" x14ac:dyDescent="0.25"/>
    <row r="22" s="9" customFormat="1" ht="20.100000000000001" customHeight="1" x14ac:dyDescent="0.25"/>
    <row r="23" s="9" customFormat="1" ht="20.100000000000001" customHeight="1" x14ac:dyDescent="0.25"/>
    <row r="24" s="9" customFormat="1" ht="20.100000000000001" customHeight="1" x14ac:dyDescent="0.25"/>
    <row r="25" s="9" customFormat="1" ht="20.100000000000001" customHeight="1" x14ac:dyDescent="0.25"/>
    <row r="26" s="9" customFormat="1" ht="20.100000000000001" customHeight="1" x14ac:dyDescent="0.25"/>
    <row r="27" s="9" customFormat="1" ht="20.100000000000001" customHeight="1" x14ac:dyDescent="0.25"/>
    <row r="28" s="9" customFormat="1" ht="20.100000000000001" customHeight="1" x14ac:dyDescent="0.25"/>
    <row r="29" s="9" customFormat="1" ht="20.100000000000001" customHeight="1" x14ac:dyDescent="0.25"/>
    <row r="30" s="9" customFormat="1" ht="20.100000000000001" customHeight="1" x14ac:dyDescent="0.25"/>
    <row r="31" s="9" customFormat="1" ht="20.100000000000001" customHeight="1" x14ac:dyDescent="0.25"/>
    <row r="32" s="9" customFormat="1" ht="20.100000000000001" customHeight="1" x14ac:dyDescent="0.25"/>
    <row r="33" s="9" customFormat="1" ht="20.100000000000001" customHeight="1" x14ac:dyDescent="0.25"/>
    <row r="34" s="9" customFormat="1" ht="20.100000000000001" customHeight="1" x14ac:dyDescent="0.25"/>
    <row r="35" s="9" customFormat="1" ht="20.100000000000001" customHeight="1" x14ac:dyDescent="0.25"/>
    <row r="36" s="9" customFormat="1" ht="20.100000000000001" customHeight="1" x14ac:dyDescent="0.25"/>
    <row r="37" s="9" customFormat="1" ht="20.100000000000001" customHeight="1" x14ac:dyDescent="0.25"/>
    <row r="38" s="9" customFormat="1" ht="20.100000000000001" customHeight="1" x14ac:dyDescent="0.25"/>
    <row r="39" s="9" customFormat="1" ht="20.100000000000001" customHeight="1" x14ac:dyDescent="0.25"/>
    <row r="40" s="9" customFormat="1" ht="20.100000000000001" customHeight="1" x14ac:dyDescent="0.25"/>
    <row r="41" s="9" customFormat="1" ht="20.100000000000001" customHeight="1" x14ac:dyDescent="0.25"/>
    <row r="42" s="9" customFormat="1" ht="20.100000000000001" customHeight="1" x14ac:dyDescent="0.25"/>
    <row r="43" s="9" customFormat="1" ht="20.100000000000001" customHeight="1" x14ac:dyDescent="0.25"/>
    <row r="44" s="9" customFormat="1" ht="20.100000000000001" customHeight="1" x14ac:dyDescent="0.25"/>
    <row r="45" s="9" customFormat="1" ht="20.100000000000001" customHeight="1" x14ac:dyDescent="0.25"/>
    <row r="46" s="9" customFormat="1" ht="20.100000000000001" customHeight="1" x14ac:dyDescent="0.25"/>
    <row r="47" s="9" customFormat="1" ht="20.100000000000001" customHeight="1" x14ac:dyDescent="0.25"/>
    <row r="48" s="9" customFormat="1" ht="20.100000000000001" customHeight="1" x14ac:dyDescent="0.25"/>
    <row r="49" s="9" customFormat="1" ht="20.100000000000001" customHeight="1" x14ac:dyDescent="0.25"/>
    <row r="50" s="9" customFormat="1" ht="20.100000000000001" customHeight="1" x14ac:dyDescent="0.25"/>
    <row r="51" s="9" customFormat="1" ht="20.100000000000001" customHeight="1" x14ac:dyDescent="0.25"/>
    <row r="52" s="9" customFormat="1" ht="20.100000000000001" customHeight="1" x14ac:dyDescent="0.25"/>
    <row r="53" s="9" customFormat="1" ht="20.100000000000001" customHeight="1" x14ac:dyDescent="0.25"/>
    <row r="54" s="9" customFormat="1" ht="20.100000000000001" customHeight="1" x14ac:dyDescent="0.25"/>
    <row r="55" s="9" customFormat="1" ht="20.100000000000001" customHeight="1" x14ac:dyDescent="0.25"/>
  </sheetData>
  <mergeCells count="2">
    <mergeCell ref="B5:B6"/>
    <mergeCell ref="F1:I3"/>
  </mergeCells>
  <conditionalFormatting sqref="C7:N9 C11:N11">
    <cfRule type="expression" dxfId="7" priority="4">
      <formula>$B$2="Pesos"</formula>
    </cfRule>
    <cfRule type="expression" dxfId="6" priority="5">
      <formula>$B$2="Soles"</formula>
    </cfRule>
    <cfRule type="expression" dxfId="5" priority="6">
      <formula>$B$2="Bolivianos"</formula>
    </cfRule>
    <cfRule type="expression" dxfId="4" priority="7">
      <formula>$B$2="Euros"</formula>
    </cfRule>
    <cfRule type="expression" dxfId="3" priority="8">
      <formula>$B$2="Dólares"</formula>
    </cfRule>
  </conditionalFormatting>
  <conditionalFormatting sqref="C9:N9">
    <cfRule type="expression" dxfId="2" priority="1">
      <formula>C7:N7=C8:N8</formula>
    </cfRule>
    <cfRule type="expression" dxfId="1" priority="2">
      <formula>C8:N8&gt;C7:N7</formula>
    </cfRule>
    <cfRule type="expression" dxfId="0" priority="3">
      <formula>C7:N7&gt;C8:N8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Configuración</vt:lpstr>
      <vt:lpstr>Registro de Movimientos</vt:lpstr>
      <vt:lpstr>Ingresos</vt:lpstr>
      <vt:lpstr>Egresos</vt:lpstr>
      <vt:lpstr>Informe Mensual</vt:lpstr>
      <vt:lpstr>Informe Anual</vt:lpstr>
      <vt:lpstr>Flujo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 Medina</dc:creator>
  <cp:lastModifiedBy>Orlando Piccinini</cp:lastModifiedBy>
  <cp:lastPrinted>2024-12-27T14:09:29Z</cp:lastPrinted>
  <dcterms:created xsi:type="dcterms:W3CDTF">2024-07-18T02:16:00Z</dcterms:created>
  <dcterms:modified xsi:type="dcterms:W3CDTF">2024-12-27T15:08:22Z</dcterms:modified>
</cp:coreProperties>
</file>